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3820"/>
  <bookViews>
    <workbookView xWindow="750" yWindow="1200" windowWidth="14640" windowHeight="6225" tabRatio="620" activeTab="4"/>
  </bookViews>
  <sheets>
    <sheet name="Team Roster" sheetId="5" r:id="rId1"/>
    <sheet name="Capacity" sheetId="6" r:id="rId2"/>
    <sheet name="Analysis" sheetId="8" r:id="rId3"/>
    <sheet name="Project Specific Reports" sheetId="9" r:id="rId4"/>
    <sheet name="Sprint" sheetId="7" r:id="rId5"/>
  </sheets>
  <definedNames>
    <definedName name="_xlnm._FilterDatabase" localSheetId="4" hidden="1">Sprint!$C$3:$CE$66</definedName>
    <definedName name="Burndown" localSheetId="2">Sprint!$J$4:$CD$67</definedName>
    <definedName name="Burndown">Sprint!$J$4:$CD$67</definedName>
    <definedName name="BurndownColumns" localSheetId="2">Analysis!$E$44</definedName>
    <definedName name="BurndownColumns">Analysis!$E$44</definedName>
    <definedName name="DailyScrumDateModifier" localSheetId="2">Analysis!$E$41</definedName>
    <definedName name="DailyScrumDateModifier">Analysis!$E$41</definedName>
    <definedName name="Deliverable">'Project Specific Reports'!$A$9:$A$24</definedName>
    <definedName name="HoursLeftColumn" localSheetId="2">Analysis!$E$46</definedName>
    <definedName name="HoursLeftColumn">Analysis!$E$46</definedName>
    <definedName name="HoursSpentColumn" localSheetId="2">Analysis!$E$45</definedName>
    <definedName name="HoursSpentColumn">Analysis!$E$45</definedName>
    <definedName name="LastRow">Sprint!#REF!</definedName>
    <definedName name="LeftColumn" localSheetId="2">Analysis!$E$46</definedName>
    <definedName name="LeftColumn">Analysis!$E$46</definedName>
    <definedName name="Members" localSheetId="2">OFFSET('Team Roster'!$D$8,0,0,COUNTA('Team Roster'!$D:$D)-1,1)</definedName>
    <definedName name="Members" localSheetId="4">OFFSET('Team Roster'!$D$8,0,0,COUNTA('Team Roster'!$D:$D)-1,1)</definedName>
    <definedName name="Members">OFFSET('Team Roster'!$D$8,0,0,COUNTA('Team Roster'!$D:$D)-1,1)</definedName>
    <definedName name="_xlnm.Print_Area" localSheetId="1">Capacity!$A$4:$AB$33</definedName>
    <definedName name="SkipWeekends" localSheetId="2">Analysis!$E$40</definedName>
    <definedName name="SkipWeekends">Analysis!$E$40</definedName>
    <definedName name="SpentColumn" localSheetId="2">Analysis!$E$45</definedName>
    <definedName name="SpentColumn">Analysis!$E$45</definedName>
    <definedName name="SprintDates" localSheetId="2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2">Analysis!$E$47</definedName>
    <definedName name="StatusColumn">Analysis!$E$47</definedName>
    <definedName name="StatusTypes" localSheetId="2">Analysis!$A$50:$A$50</definedName>
    <definedName name="StatusTypes">Analysis!$A$50:$A$50</definedName>
    <definedName name="TotalEffort" localSheetId="2">Sprint!$CE$4:$CE$67</definedName>
    <definedName name="TotalEffort">Sprint!$CE$4:$CE$67</definedName>
    <definedName name="Worktype">'Project Specific Reports'!$A$2:$A$5</definedName>
  </definedNames>
  <calcPr calcId="152511"/>
</workbook>
</file>

<file path=xl/calcChain.xml><?xml version="1.0" encoding="utf-8"?>
<calcChain xmlns="http://schemas.openxmlformats.org/spreadsheetml/2006/main">
  <c r="CA72" i="7" l="1"/>
  <c r="BX72" i="7"/>
  <c r="BU72" i="7"/>
  <c r="BR72" i="7"/>
  <c r="BO72" i="7"/>
  <c r="BL72" i="7"/>
  <c r="BI72" i="7"/>
  <c r="BF72" i="7"/>
  <c r="BC72" i="7"/>
  <c r="AZ72" i="7"/>
  <c r="AW72" i="7"/>
  <c r="AT72" i="7"/>
  <c r="AQ72" i="7"/>
  <c r="AN72" i="7"/>
  <c r="AK72" i="7"/>
  <c r="AH72" i="7"/>
  <c r="AE72" i="7"/>
  <c r="AB72" i="7"/>
  <c r="Y72" i="7"/>
  <c r="V72" i="7"/>
  <c r="S72" i="7"/>
  <c r="P72" i="7"/>
  <c r="M72" i="7"/>
  <c r="J72" i="7"/>
  <c r="I72" i="7"/>
  <c r="BE68" i="7"/>
  <c r="BH68" i="7" s="1"/>
  <c r="BK68" i="7" s="1"/>
  <c r="BN68" i="7" s="1"/>
  <c r="BQ68" i="7" s="1"/>
  <c r="BT68" i="7" s="1"/>
  <c r="BW68" i="7" s="1"/>
  <c r="BZ68" i="7" s="1"/>
  <c r="CC68" i="7" s="1"/>
  <c r="BB68" i="7"/>
  <c r="O68" i="7"/>
  <c r="R68" i="7" s="1"/>
  <c r="U68" i="7" s="1"/>
  <c r="X68" i="7" s="1"/>
  <c r="AA68" i="7" s="1"/>
  <c r="AD68" i="7" s="1"/>
  <c r="AG68" i="7" s="1"/>
  <c r="AJ68" i="7" s="1"/>
  <c r="AM68" i="7" s="1"/>
  <c r="AP68" i="7" s="1"/>
  <c r="AS68" i="7" s="1"/>
  <c r="AV68" i="7" s="1"/>
  <c r="AY68" i="7" s="1"/>
  <c r="CE67" i="7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L66" i="7"/>
  <c r="K66" i="7"/>
  <c r="G66" i="7"/>
  <c r="BG65" i="7"/>
  <c r="BJ65" i="7" s="1"/>
  <c r="BM65" i="7" s="1"/>
  <c r="BP65" i="7" s="1"/>
  <c r="BS65" i="7" s="1"/>
  <c r="BV65" i="7" s="1"/>
  <c r="BY65" i="7" s="1"/>
  <c r="CB65" i="7" s="1"/>
  <c r="BA65" i="7"/>
  <c r="BD65" i="7" s="1"/>
  <c r="K65" i="7"/>
  <c r="G65" i="7"/>
  <c r="BJ64" i="7"/>
  <c r="BM64" i="7" s="1"/>
  <c r="BP64" i="7" s="1"/>
  <c r="BS64" i="7" s="1"/>
  <c r="BV64" i="7" s="1"/>
  <c r="BY64" i="7" s="1"/>
  <c r="CB64" i="7" s="1"/>
  <c r="BD64" i="7"/>
  <c r="BG64" i="7" s="1"/>
  <c r="BA64" i="7"/>
  <c r="O64" i="7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L64" i="7"/>
  <c r="K64" i="7"/>
  <c r="G64" i="7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L63" i="7"/>
  <c r="K63" i="7"/>
  <c r="N63" i="7" s="1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G63" i="7"/>
  <c r="BD62" i="7"/>
  <c r="BG62" i="7" s="1"/>
  <c r="BJ62" i="7" s="1"/>
  <c r="BM62" i="7" s="1"/>
  <c r="BP62" i="7" s="1"/>
  <c r="BS62" i="7" s="1"/>
  <c r="BV62" i="7" s="1"/>
  <c r="BY62" i="7" s="1"/>
  <c r="CB62" i="7" s="1"/>
  <c r="BA62" i="7"/>
  <c r="R62" i="7"/>
  <c r="O62" i="7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L62" i="7"/>
  <c r="K62" i="7"/>
  <c r="G62" i="7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L61" i="7"/>
  <c r="K61" i="7"/>
  <c r="N61" i="7" s="1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G61" i="7"/>
  <c r="CB60" i="7"/>
  <c r="BV60" i="7"/>
  <c r="BY60" i="7" s="1"/>
  <c r="BD60" i="7"/>
  <c r="BG60" i="7" s="1"/>
  <c r="BJ60" i="7" s="1"/>
  <c r="BM60" i="7" s="1"/>
  <c r="BP60" i="7" s="1"/>
  <c r="BS60" i="7" s="1"/>
  <c r="BA60" i="7"/>
  <c r="Z60" i="7"/>
  <c r="AC60" i="7" s="1"/>
  <c r="AF60" i="7" s="1"/>
  <c r="AI60" i="7" s="1"/>
  <c r="AL60" i="7" s="1"/>
  <c r="AO60" i="7" s="1"/>
  <c r="AR60" i="7" s="1"/>
  <c r="AU60" i="7" s="1"/>
  <c r="AX60" i="7" s="1"/>
  <c r="N60" i="7"/>
  <c r="Q60" i="7" s="1"/>
  <c r="T60" i="7" s="1"/>
  <c r="W60" i="7" s="1"/>
  <c r="L60" i="7"/>
  <c r="K60" i="7"/>
  <c r="G60" i="7"/>
  <c r="BS59" i="7"/>
  <c r="BV59" i="7" s="1"/>
  <c r="BY59" i="7" s="1"/>
  <c r="CB59" i="7" s="1"/>
  <c r="BG59" i="7"/>
  <c r="BJ59" i="7" s="1"/>
  <c r="BM59" i="7" s="1"/>
  <c r="BP59" i="7" s="1"/>
  <c r="BA59" i="7"/>
  <c r="BD59" i="7" s="1"/>
  <c r="K59" i="7"/>
  <c r="G59" i="7"/>
  <c r="BP58" i="7"/>
  <c r="BS58" i="7" s="1"/>
  <c r="BV58" i="7" s="1"/>
  <c r="BY58" i="7" s="1"/>
  <c r="CB58" i="7" s="1"/>
  <c r="BJ58" i="7"/>
  <c r="BM58" i="7" s="1"/>
  <c r="BD58" i="7"/>
  <c r="BG58" i="7" s="1"/>
  <c r="BA58" i="7"/>
  <c r="N58" i="7"/>
  <c r="L58" i="7"/>
  <c r="K58" i="7"/>
  <c r="G58" i="7"/>
  <c r="BG57" i="7"/>
  <c r="BJ57" i="7" s="1"/>
  <c r="BM57" i="7" s="1"/>
  <c r="BP57" i="7" s="1"/>
  <c r="BS57" i="7" s="1"/>
  <c r="BV57" i="7" s="1"/>
  <c r="BY57" i="7" s="1"/>
  <c r="CB57" i="7" s="1"/>
  <c r="BA57" i="7"/>
  <c r="BD57" i="7" s="1"/>
  <c r="T57" i="7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7" i="7"/>
  <c r="Q57" i="7" s="1"/>
  <c r="K57" i="7"/>
  <c r="G57" i="7"/>
  <c r="BG56" i="7"/>
  <c r="BJ56" i="7" s="1"/>
  <c r="BM56" i="7" s="1"/>
  <c r="BP56" i="7" s="1"/>
  <c r="BS56" i="7" s="1"/>
  <c r="BV56" i="7" s="1"/>
  <c r="BY56" i="7" s="1"/>
  <c r="CB56" i="7" s="1"/>
  <c r="BA56" i="7"/>
  <c r="BD56" i="7" s="1"/>
  <c r="K56" i="7"/>
  <c r="G56" i="7"/>
  <c r="BD55" i="7"/>
  <c r="BG55" i="7" s="1"/>
  <c r="BJ55" i="7" s="1"/>
  <c r="BM55" i="7" s="1"/>
  <c r="BP55" i="7" s="1"/>
  <c r="BS55" i="7" s="1"/>
  <c r="BV55" i="7" s="1"/>
  <c r="BY55" i="7" s="1"/>
  <c r="CB55" i="7" s="1"/>
  <c r="BA55" i="7"/>
  <c r="N55" i="7"/>
  <c r="L55" i="7"/>
  <c r="K55" i="7"/>
  <c r="G55" i="7"/>
  <c r="BG54" i="7"/>
  <c r="BJ54" i="7" s="1"/>
  <c r="BM54" i="7" s="1"/>
  <c r="BP54" i="7" s="1"/>
  <c r="BS54" i="7" s="1"/>
  <c r="BV54" i="7" s="1"/>
  <c r="BY54" i="7" s="1"/>
  <c r="CB54" i="7" s="1"/>
  <c r="BA54" i="7"/>
  <c r="BD54" i="7" s="1"/>
  <c r="K54" i="7"/>
  <c r="G54" i="7"/>
  <c r="BJ53" i="7"/>
  <c r="BM53" i="7" s="1"/>
  <c r="BP53" i="7" s="1"/>
  <c r="BS53" i="7" s="1"/>
  <c r="BV53" i="7" s="1"/>
  <c r="BY53" i="7" s="1"/>
  <c r="CB53" i="7" s="1"/>
  <c r="BD53" i="7"/>
  <c r="BG53" i="7" s="1"/>
  <c r="BA53" i="7"/>
  <c r="T53" i="7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N53" i="7"/>
  <c r="Q53" i="7" s="1"/>
  <c r="L53" i="7"/>
  <c r="K53" i="7"/>
  <c r="G53" i="7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Q52" i="7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L52" i="7"/>
  <c r="K52" i="7"/>
  <c r="N52" i="7" s="1"/>
  <c r="G52" i="7"/>
  <c r="BD51" i="7"/>
  <c r="BG51" i="7" s="1"/>
  <c r="BJ51" i="7" s="1"/>
  <c r="BM51" i="7" s="1"/>
  <c r="BP51" i="7" s="1"/>
  <c r="BS51" i="7" s="1"/>
  <c r="BV51" i="7" s="1"/>
  <c r="BY51" i="7" s="1"/>
  <c r="CB51" i="7" s="1"/>
  <c r="BA51" i="7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L51" i="7"/>
  <c r="K51" i="7"/>
  <c r="G51" i="7"/>
  <c r="BG50" i="7"/>
  <c r="BJ50" i="7" s="1"/>
  <c r="BM50" i="7" s="1"/>
  <c r="BP50" i="7" s="1"/>
  <c r="BS50" i="7" s="1"/>
  <c r="BV50" i="7" s="1"/>
  <c r="BY50" i="7" s="1"/>
  <c r="CB50" i="7" s="1"/>
  <c r="BA50" i="7"/>
  <c r="BD50" i="7" s="1"/>
  <c r="K50" i="7"/>
  <c r="N50" i="7" s="1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G50" i="7"/>
  <c r="BJ49" i="7"/>
  <c r="BM49" i="7" s="1"/>
  <c r="BP49" i="7" s="1"/>
  <c r="BS49" i="7" s="1"/>
  <c r="BV49" i="7" s="1"/>
  <c r="BY49" i="7" s="1"/>
  <c r="CB49" i="7" s="1"/>
  <c r="BD49" i="7"/>
  <c r="BG49" i="7" s="1"/>
  <c r="BA49" i="7"/>
  <c r="T49" i="7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49" i="7"/>
  <c r="Q49" i="7" s="1"/>
  <c r="L49" i="7"/>
  <c r="K49" i="7"/>
  <c r="G49" i="7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Q48" i="7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L48" i="7"/>
  <c r="K48" i="7"/>
  <c r="N48" i="7" s="1"/>
  <c r="G48" i="7"/>
  <c r="BD47" i="7"/>
  <c r="BG47" i="7" s="1"/>
  <c r="BJ47" i="7" s="1"/>
  <c r="BM47" i="7" s="1"/>
  <c r="BP47" i="7" s="1"/>
  <c r="BS47" i="7" s="1"/>
  <c r="BV47" i="7" s="1"/>
  <c r="BY47" i="7" s="1"/>
  <c r="CB47" i="7" s="1"/>
  <c r="BA47" i="7"/>
  <c r="O47" i="7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L47" i="7"/>
  <c r="K47" i="7"/>
  <c r="G47" i="7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L46" i="7"/>
  <c r="K46" i="7"/>
  <c r="G46" i="7"/>
  <c r="BD45" i="7"/>
  <c r="BG45" i="7" s="1"/>
  <c r="BJ45" i="7" s="1"/>
  <c r="BM45" i="7" s="1"/>
  <c r="BP45" i="7" s="1"/>
  <c r="BS45" i="7" s="1"/>
  <c r="BV45" i="7" s="1"/>
  <c r="BY45" i="7" s="1"/>
  <c r="CB45" i="7" s="1"/>
  <c r="BA45" i="7"/>
  <c r="O45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L45" i="7"/>
  <c r="K45" i="7"/>
  <c r="G45" i="7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L44" i="7"/>
  <c r="K44" i="7"/>
  <c r="G44" i="7"/>
  <c r="BD43" i="7"/>
  <c r="BG43" i="7" s="1"/>
  <c r="BJ43" i="7" s="1"/>
  <c r="BM43" i="7" s="1"/>
  <c r="BP43" i="7" s="1"/>
  <c r="BS43" i="7" s="1"/>
  <c r="BV43" i="7" s="1"/>
  <c r="BY43" i="7" s="1"/>
  <c r="CB43" i="7" s="1"/>
  <c r="BA43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L43" i="7"/>
  <c r="K43" i="7"/>
  <c r="G43" i="7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L42" i="7"/>
  <c r="K42" i="7"/>
  <c r="G42" i="7"/>
  <c r="BD41" i="7"/>
  <c r="BG41" i="7" s="1"/>
  <c r="BJ41" i="7" s="1"/>
  <c r="BM41" i="7" s="1"/>
  <c r="BP41" i="7" s="1"/>
  <c r="BS41" i="7" s="1"/>
  <c r="BV41" i="7" s="1"/>
  <c r="BY41" i="7" s="1"/>
  <c r="CB41" i="7" s="1"/>
  <c r="BA41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L41" i="7"/>
  <c r="K41" i="7"/>
  <c r="G41" i="7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L40" i="7"/>
  <c r="K40" i="7"/>
  <c r="G40" i="7"/>
  <c r="BD39" i="7"/>
  <c r="BG39" i="7" s="1"/>
  <c r="BJ39" i="7" s="1"/>
  <c r="BM39" i="7" s="1"/>
  <c r="BP39" i="7" s="1"/>
  <c r="BS39" i="7" s="1"/>
  <c r="BV39" i="7" s="1"/>
  <c r="BY39" i="7" s="1"/>
  <c r="CB39" i="7" s="1"/>
  <c r="BA39" i="7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L39" i="7"/>
  <c r="K39" i="7"/>
  <c r="G39" i="7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L38" i="7"/>
  <c r="K38" i="7"/>
  <c r="G38" i="7"/>
  <c r="BD37" i="7"/>
  <c r="BG37" i="7" s="1"/>
  <c r="BJ37" i="7" s="1"/>
  <c r="BM37" i="7" s="1"/>
  <c r="BP37" i="7" s="1"/>
  <c r="BS37" i="7" s="1"/>
  <c r="BV37" i="7" s="1"/>
  <c r="BY37" i="7" s="1"/>
  <c r="CB37" i="7" s="1"/>
  <c r="BA37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L37" i="7"/>
  <c r="K37" i="7"/>
  <c r="G37" i="7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L36" i="7"/>
  <c r="K36" i="7"/>
  <c r="G36" i="7"/>
  <c r="BD35" i="7"/>
  <c r="BG35" i="7" s="1"/>
  <c r="BJ35" i="7" s="1"/>
  <c r="BM35" i="7" s="1"/>
  <c r="BP35" i="7" s="1"/>
  <c r="BS35" i="7" s="1"/>
  <c r="BV35" i="7" s="1"/>
  <c r="BY35" i="7" s="1"/>
  <c r="CB35" i="7" s="1"/>
  <c r="BA35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L35" i="7"/>
  <c r="K35" i="7"/>
  <c r="G35" i="7"/>
  <c r="BM34" i="7"/>
  <c r="BP34" i="7" s="1"/>
  <c r="BS34" i="7" s="1"/>
  <c r="BV34" i="7" s="1"/>
  <c r="BY34" i="7" s="1"/>
  <c r="CB34" i="7" s="1"/>
  <c r="BG34" i="7"/>
  <c r="BJ34" i="7" s="1"/>
  <c r="BA34" i="7"/>
  <c r="BD34" i="7" s="1"/>
  <c r="K34" i="7"/>
  <c r="G34" i="7"/>
  <c r="BP33" i="7"/>
  <c r="BS33" i="7" s="1"/>
  <c r="BV33" i="7" s="1"/>
  <c r="BY33" i="7" s="1"/>
  <c r="CB33" i="7" s="1"/>
  <c r="BJ33" i="7"/>
  <c r="BM33" i="7" s="1"/>
  <c r="BD33" i="7"/>
  <c r="BG33" i="7" s="1"/>
  <c r="BA33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L33" i="7"/>
  <c r="K33" i="7"/>
  <c r="G33" i="7"/>
  <c r="BM32" i="7"/>
  <c r="BP32" i="7" s="1"/>
  <c r="BS32" i="7" s="1"/>
  <c r="BV32" i="7" s="1"/>
  <c r="BY32" i="7" s="1"/>
  <c r="CB32" i="7" s="1"/>
  <c r="BG32" i="7"/>
  <c r="BJ32" i="7" s="1"/>
  <c r="BA32" i="7"/>
  <c r="BD32" i="7" s="1"/>
  <c r="L32" i="7"/>
  <c r="K32" i="7"/>
  <c r="G32" i="7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L31" i="7"/>
  <c r="K31" i="7"/>
  <c r="G31" i="7"/>
  <c r="BD30" i="7"/>
  <c r="BG30" i="7" s="1"/>
  <c r="BJ30" i="7" s="1"/>
  <c r="BM30" i="7" s="1"/>
  <c r="BP30" i="7" s="1"/>
  <c r="BS30" i="7" s="1"/>
  <c r="BV30" i="7" s="1"/>
  <c r="BY30" i="7" s="1"/>
  <c r="CB30" i="7" s="1"/>
  <c r="BA30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L30" i="7"/>
  <c r="K30" i="7"/>
  <c r="G30" i="7"/>
  <c r="K29" i="7"/>
  <c r="N29" i="7" s="1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BA29" i="7" s="1"/>
  <c r="BD29" i="7" s="1"/>
  <c r="BG29" i="7" s="1"/>
  <c r="BJ29" i="7" s="1"/>
  <c r="BM29" i="7" s="1"/>
  <c r="BP29" i="7" s="1"/>
  <c r="BS29" i="7" s="1"/>
  <c r="BV29" i="7" s="1"/>
  <c r="BY29" i="7" s="1"/>
  <c r="CB29" i="7" s="1"/>
  <c r="G29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BA28" i="7" s="1"/>
  <c r="BD28" i="7" s="1"/>
  <c r="BG28" i="7" s="1"/>
  <c r="BJ28" i="7" s="1"/>
  <c r="BM28" i="7" s="1"/>
  <c r="BP28" i="7" s="1"/>
  <c r="BS28" i="7" s="1"/>
  <c r="BV28" i="7" s="1"/>
  <c r="BY28" i="7" s="1"/>
  <c r="CB28" i="7" s="1"/>
  <c r="L28" i="7"/>
  <c r="K28" i="7"/>
  <c r="G28" i="7"/>
  <c r="K27" i="7"/>
  <c r="N27" i="7" s="1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BA27" i="7" s="1"/>
  <c r="BD27" i="7" s="1"/>
  <c r="BG27" i="7" s="1"/>
  <c r="BJ27" i="7" s="1"/>
  <c r="BM27" i="7" s="1"/>
  <c r="BP27" i="7" s="1"/>
  <c r="BS27" i="7" s="1"/>
  <c r="BV27" i="7" s="1"/>
  <c r="BY27" i="7" s="1"/>
  <c r="CB27" i="7" s="1"/>
  <c r="G27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BA26" i="7" s="1"/>
  <c r="BD26" i="7" s="1"/>
  <c r="BG26" i="7" s="1"/>
  <c r="BJ26" i="7" s="1"/>
  <c r="BM26" i="7" s="1"/>
  <c r="BP26" i="7" s="1"/>
  <c r="BS26" i="7" s="1"/>
  <c r="BV26" i="7" s="1"/>
  <c r="BY26" i="7" s="1"/>
  <c r="CB26" i="7" s="1"/>
  <c r="L26" i="7"/>
  <c r="K26" i="7"/>
  <c r="G26" i="7"/>
  <c r="K25" i="7"/>
  <c r="N25" i="7" s="1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BA25" i="7" s="1"/>
  <c r="BD25" i="7" s="1"/>
  <c r="BG25" i="7" s="1"/>
  <c r="BJ25" i="7" s="1"/>
  <c r="BM25" i="7" s="1"/>
  <c r="BP25" i="7" s="1"/>
  <c r="BS25" i="7" s="1"/>
  <c r="BV25" i="7" s="1"/>
  <c r="BY25" i="7" s="1"/>
  <c r="CB25" i="7" s="1"/>
  <c r="G25" i="7"/>
  <c r="O24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BA24" i="7" s="1"/>
  <c r="BD24" i="7" s="1"/>
  <c r="BG24" i="7" s="1"/>
  <c r="BJ24" i="7" s="1"/>
  <c r="BM24" i="7" s="1"/>
  <c r="BP24" i="7" s="1"/>
  <c r="BS24" i="7" s="1"/>
  <c r="BV24" i="7" s="1"/>
  <c r="BY24" i="7" s="1"/>
  <c r="CB24" i="7" s="1"/>
  <c r="L24" i="7"/>
  <c r="K24" i="7"/>
  <c r="G24" i="7"/>
  <c r="L23" i="7"/>
  <c r="K23" i="7"/>
  <c r="N23" i="7" s="1"/>
  <c r="Q23" i="7" s="1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BA23" i="7" s="1"/>
  <c r="BD23" i="7" s="1"/>
  <c r="BG23" i="7" s="1"/>
  <c r="BJ23" i="7" s="1"/>
  <c r="BM23" i="7" s="1"/>
  <c r="BP23" i="7" s="1"/>
  <c r="BS23" i="7" s="1"/>
  <c r="BV23" i="7" s="1"/>
  <c r="BY23" i="7" s="1"/>
  <c r="CB23" i="7" s="1"/>
  <c r="G23" i="7"/>
  <c r="O22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BA22" i="7" s="1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G22" i="7"/>
  <c r="K21" i="7"/>
  <c r="G21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BA20" i="7" s="1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G20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A19" i="7" s="1"/>
  <c r="BD19" i="7" s="1"/>
  <c r="BG19" i="7" s="1"/>
  <c r="BJ19" i="7" s="1"/>
  <c r="BM19" i="7" s="1"/>
  <c r="BP19" i="7" s="1"/>
  <c r="BS19" i="7" s="1"/>
  <c r="BV19" i="7" s="1"/>
  <c r="BY19" i="7" s="1"/>
  <c r="CB19" i="7" s="1"/>
  <c r="L19" i="7"/>
  <c r="K19" i="7"/>
  <c r="G19" i="7"/>
  <c r="L18" i="7"/>
  <c r="K18" i="7"/>
  <c r="G18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BA17" i="7" s="1"/>
  <c r="BD17" i="7" s="1"/>
  <c r="BG17" i="7" s="1"/>
  <c r="BJ17" i="7" s="1"/>
  <c r="BM17" i="7" s="1"/>
  <c r="BP17" i="7" s="1"/>
  <c r="BS17" i="7" s="1"/>
  <c r="BV17" i="7" s="1"/>
  <c r="BY17" i="7" s="1"/>
  <c r="CB17" i="7" s="1"/>
  <c r="L17" i="7"/>
  <c r="K17" i="7"/>
  <c r="G17" i="7"/>
  <c r="L16" i="7"/>
  <c r="K16" i="7"/>
  <c r="G16" i="7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BA15" i="7" s="1"/>
  <c r="BD15" i="7" s="1"/>
  <c r="BG15" i="7" s="1"/>
  <c r="BJ15" i="7" s="1"/>
  <c r="BM15" i="7" s="1"/>
  <c r="BP15" i="7" s="1"/>
  <c r="BS15" i="7" s="1"/>
  <c r="BV15" i="7" s="1"/>
  <c r="BY15" i="7" s="1"/>
  <c r="CB15" i="7" s="1"/>
  <c r="L15" i="7"/>
  <c r="K15" i="7"/>
  <c r="G15" i="7"/>
  <c r="L14" i="7"/>
  <c r="K14" i="7"/>
  <c r="G14" i="7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BA13" i="7" s="1"/>
  <c r="BD13" i="7" s="1"/>
  <c r="BG13" i="7" s="1"/>
  <c r="BJ13" i="7" s="1"/>
  <c r="BM13" i="7" s="1"/>
  <c r="BP13" i="7" s="1"/>
  <c r="BS13" i="7" s="1"/>
  <c r="BV13" i="7" s="1"/>
  <c r="BY13" i="7" s="1"/>
  <c r="CB13" i="7" s="1"/>
  <c r="L13" i="7"/>
  <c r="K13" i="7"/>
  <c r="G13" i="7"/>
  <c r="L12" i="7"/>
  <c r="K12" i="7"/>
  <c r="G12" i="7"/>
  <c r="T11" i="7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BA11" i="7" s="1"/>
  <c r="BD11" i="7" s="1"/>
  <c r="BG11" i="7" s="1"/>
  <c r="BJ11" i="7" s="1"/>
  <c r="BM11" i="7" s="1"/>
  <c r="BP11" i="7" s="1"/>
  <c r="BS11" i="7" s="1"/>
  <c r="BV11" i="7" s="1"/>
  <c r="BY11" i="7" s="1"/>
  <c r="CB11" i="7" s="1"/>
  <c r="R11" i="7"/>
  <c r="Q11" i="7"/>
  <c r="O11" i="7"/>
  <c r="L11" i="7"/>
  <c r="G11" i="7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BA10" i="7" s="1"/>
  <c r="BD10" i="7" s="1"/>
  <c r="BG10" i="7" s="1"/>
  <c r="BJ10" i="7" s="1"/>
  <c r="BM10" i="7" s="1"/>
  <c r="BP10" i="7" s="1"/>
  <c r="BS10" i="7" s="1"/>
  <c r="BV10" i="7" s="1"/>
  <c r="BY10" i="7" s="1"/>
  <c r="CB10" i="7" s="1"/>
  <c r="L10" i="7"/>
  <c r="K10" i="7"/>
  <c r="G10" i="7"/>
  <c r="L9" i="7"/>
  <c r="K9" i="7"/>
  <c r="G9" i="7"/>
  <c r="O8" i="7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BA8" i="7" s="1"/>
  <c r="BD8" i="7" s="1"/>
  <c r="BG8" i="7" s="1"/>
  <c r="BJ8" i="7" s="1"/>
  <c r="BM8" i="7" s="1"/>
  <c r="BP8" i="7" s="1"/>
  <c r="BS8" i="7" s="1"/>
  <c r="BV8" i="7" s="1"/>
  <c r="BY8" i="7" s="1"/>
  <c r="CB8" i="7" s="1"/>
  <c r="L8" i="7"/>
  <c r="K8" i="7"/>
  <c r="G8" i="7"/>
  <c r="L7" i="7"/>
  <c r="K7" i="7"/>
  <c r="G7" i="7"/>
  <c r="R6" i="7"/>
  <c r="O6" i="7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BA6" i="7" s="1"/>
  <c r="BD6" i="7" s="1"/>
  <c r="BG6" i="7" s="1"/>
  <c r="BJ6" i="7" s="1"/>
  <c r="BM6" i="7" s="1"/>
  <c r="BP6" i="7" s="1"/>
  <c r="BS6" i="7" s="1"/>
  <c r="BV6" i="7" s="1"/>
  <c r="BY6" i="7" s="1"/>
  <c r="CB6" i="7" s="1"/>
  <c r="L6" i="7"/>
  <c r="K6" i="7"/>
  <c r="G6" i="7"/>
  <c r="B31" i="9" s="1"/>
  <c r="L5" i="7"/>
  <c r="K5" i="7"/>
  <c r="G5" i="7"/>
  <c r="B29" i="9" s="1"/>
  <c r="N4" i="7"/>
  <c r="Q4" i="7" s="1"/>
  <c r="L4" i="7"/>
  <c r="K4" i="7"/>
  <c r="M1" i="7"/>
  <c r="J1" i="7"/>
  <c r="G1" i="7"/>
  <c r="B30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5" i="9"/>
  <c r="B4" i="9"/>
  <c r="B3" i="9"/>
  <c r="B2" i="9"/>
  <c r="E22" i="8"/>
  <c r="E20" i="8"/>
  <c r="A19" i="8"/>
  <c r="G25" i="6"/>
  <c r="G24" i="6"/>
  <c r="G23" i="6"/>
  <c r="G22" i="6"/>
  <c r="G21" i="6"/>
  <c r="G20" i="6"/>
  <c r="G19" i="6"/>
  <c r="G18" i="6"/>
  <c r="G17" i="6"/>
  <c r="G16" i="6"/>
  <c r="G15" i="6"/>
  <c r="C8" i="6" s="1"/>
  <c r="G14" i="6"/>
  <c r="D3" i="6"/>
  <c r="I6" i="6" s="1"/>
  <c r="E2" i="6"/>
  <c r="D2" i="6" s="1"/>
  <c r="B28" i="9" l="1"/>
  <c r="B32" i="9"/>
  <c r="I12" i="6"/>
  <c r="J6" i="6"/>
  <c r="I22" i="6"/>
  <c r="I18" i="6"/>
  <c r="I14" i="6"/>
  <c r="I8" i="6"/>
  <c r="I25" i="6"/>
  <c r="I21" i="6"/>
  <c r="I17" i="6"/>
  <c r="I13" i="6"/>
  <c r="I23" i="6"/>
  <c r="I19" i="6"/>
  <c r="I24" i="6"/>
  <c r="I20" i="6"/>
  <c r="I16" i="6"/>
  <c r="I11" i="6"/>
  <c r="I10" i="6"/>
  <c r="P6" i="6"/>
  <c r="I15" i="6"/>
  <c r="I9" i="6"/>
  <c r="B25" i="9"/>
  <c r="C21" i="9" s="1"/>
  <c r="O4" i="7"/>
  <c r="U11" i="7"/>
  <c r="AD11" i="7" s="1"/>
  <c r="C10" i="9"/>
  <c r="C14" i="9"/>
  <c r="C18" i="9"/>
  <c r="C22" i="9"/>
  <c r="P1" i="7"/>
  <c r="F20" i="8"/>
  <c r="R4" i="7"/>
  <c r="X11" i="7"/>
  <c r="O15" i="7"/>
  <c r="C11" i="9"/>
  <c r="C15" i="9"/>
  <c r="C19" i="9"/>
  <c r="C23" i="9"/>
  <c r="B33" i="9"/>
  <c r="C29" i="9" s="1"/>
  <c r="AA11" i="7"/>
  <c r="E23" i="8"/>
  <c r="E24" i="8" s="1"/>
  <c r="C2" i="9"/>
  <c r="B6" i="9"/>
  <c r="C3" i="9" s="1"/>
  <c r="C12" i="9"/>
  <c r="C16" i="9"/>
  <c r="C20" i="9"/>
  <c r="C24" i="9"/>
  <c r="T4" i="7"/>
  <c r="U6" i="7"/>
  <c r="R8" i="7"/>
  <c r="O10" i="7"/>
  <c r="O13" i="7"/>
  <c r="R15" i="7"/>
  <c r="O17" i="7"/>
  <c r="U17" i="7" s="1"/>
  <c r="O19" i="7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BA21" i="7" s="1"/>
  <c r="BD21" i="7" s="1"/>
  <c r="BG21" i="7" s="1"/>
  <c r="BJ21" i="7" s="1"/>
  <c r="BM21" i="7" s="1"/>
  <c r="BP21" i="7" s="1"/>
  <c r="BS21" i="7" s="1"/>
  <c r="BV21" i="7" s="1"/>
  <c r="BY21" i="7" s="1"/>
  <c r="CB21" i="7" s="1"/>
  <c r="R22" i="7"/>
  <c r="O23" i="7"/>
  <c r="K72" i="7"/>
  <c r="N5" i="7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BA7" i="7" s="1"/>
  <c r="BD7" i="7" s="1"/>
  <c r="BG7" i="7" s="1"/>
  <c r="BJ7" i="7" s="1"/>
  <c r="BM7" i="7" s="1"/>
  <c r="BP7" i="7" s="1"/>
  <c r="BS7" i="7" s="1"/>
  <c r="BV7" i="7" s="1"/>
  <c r="BY7" i="7" s="1"/>
  <c r="CB7" i="7" s="1"/>
  <c r="N9" i="7"/>
  <c r="N12" i="7"/>
  <c r="N14" i="7"/>
  <c r="N16" i="7"/>
  <c r="N18" i="7"/>
  <c r="L20" i="7"/>
  <c r="U22" i="7"/>
  <c r="R23" i="7"/>
  <c r="R17" i="7"/>
  <c r="X17" i="7" s="1"/>
  <c r="R19" i="7"/>
  <c r="X22" i="7"/>
  <c r="N72" i="7"/>
  <c r="L21" i="7"/>
  <c r="O21" i="7"/>
  <c r="AA22" i="7"/>
  <c r="R24" i="7"/>
  <c r="U24" i="7"/>
  <c r="U28" i="7"/>
  <c r="L25" i="7"/>
  <c r="O26" i="7"/>
  <c r="L27" i="7"/>
  <c r="O28" i="7"/>
  <c r="R28" i="7" s="1"/>
  <c r="L29" i="7"/>
  <c r="O30" i="7"/>
  <c r="N31" i="7"/>
  <c r="N32" i="7"/>
  <c r="O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5" i="7"/>
  <c r="U35" i="7" s="1"/>
  <c r="O36" i="7"/>
  <c r="O37" i="7"/>
  <c r="O39" i="7"/>
  <c r="O41" i="7"/>
  <c r="O43" i="7"/>
  <c r="U43" i="7" s="1"/>
  <c r="O44" i="7"/>
  <c r="R33" i="7"/>
  <c r="L34" i="7"/>
  <c r="R35" i="7"/>
  <c r="R37" i="7"/>
  <c r="R43" i="7"/>
  <c r="U45" i="7"/>
  <c r="N36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40" i="7"/>
  <c r="N42" i="7"/>
  <c r="N44" i="7"/>
  <c r="R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L56" i="7"/>
  <c r="O56" i="7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61" i="7"/>
  <c r="O52" i="7"/>
  <c r="R53" i="7"/>
  <c r="L54" i="7"/>
  <c r="R47" i="7"/>
  <c r="O49" i="7"/>
  <c r="O55" i="7"/>
  <c r="Q55" i="7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Q58" i="7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O58" i="7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R59" i="7"/>
  <c r="L59" i="7"/>
  <c r="O59" i="7"/>
  <c r="O48" i="7"/>
  <c r="R49" i="7"/>
  <c r="L50" i="7"/>
  <c r="O50" i="7" s="1"/>
  <c r="O51" i="7"/>
  <c r="R52" i="7"/>
  <c r="U53" i="7"/>
  <c r="L57" i="7"/>
  <c r="R57" i="7"/>
  <c r="AM57" i="7" s="1"/>
  <c r="X57" i="7"/>
  <c r="AD57" i="7"/>
  <c r="O57" i="7"/>
  <c r="AJ57" i="7" s="1"/>
  <c r="U57" i="7"/>
  <c r="AP57" i="7" s="1"/>
  <c r="AA57" i="7"/>
  <c r="AG57" i="7"/>
  <c r="R63" i="7"/>
  <c r="U64" i="7"/>
  <c r="X65" i="7"/>
  <c r="U63" i="7"/>
  <c r="X64" i="7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R65" i="7"/>
  <c r="AA65" i="7"/>
  <c r="O60" i="7"/>
  <c r="O63" i="7"/>
  <c r="R64" i="7"/>
  <c r="L65" i="7"/>
  <c r="U65" i="7"/>
  <c r="R61" i="7"/>
  <c r="U62" i="7"/>
  <c r="O65" i="7"/>
  <c r="N66" i="7"/>
  <c r="C30" i="9" l="1"/>
  <c r="AV57" i="7"/>
  <c r="AS57" i="7"/>
  <c r="BE57" i="7" s="1"/>
  <c r="U61" i="7"/>
  <c r="O46" i="7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34" i="7"/>
  <c r="X4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Q66" i="7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AD65" i="7"/>
  <c r="X63" i="7"/>
  <c r="X62" i="7"/>
  <c r="R48" i="7"/>
  <c r="R56" i="7"/>
  <c r="X53" i="7"/>
  <c r="R46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2" i="7"/>
  <c r="R34" i="7"/>
  <c r="O25" i="7"/>
  <c r="E25" i="8"/>
  <c r="E27" i="8"/>
  <c r="E28" i="8" s="1"/>
  <c r="R55" i="7"/>
  <c r="R50" i="7"/>
  <c r="U49" i="7"/>
  <c r="U52" i="7"/>
  <c r="U47" i="7"/>
  <c r="X45" i="7"/>
  <c r="R42" i="7"/>
  <c r="R41" i="7"/>
  <c r="AA43" i="7"/>
  <c r="O40" i="7"/>
  <c r="U37" i="7"/>
  <c r="U33" i="7"/>
  <c r="U41" i="7"/>
  <c r="R30" i="7"/>
  <c r="U30" i="7"/>
  <c r="R25" i="7"/>
  <c r="O31" i="7"/>
  <c r="R31" i="7" s="1"/>
  <c r="R60" i="7"/>
  <c r="X61" i="7"/>
  <c r="AA64" i="7"/>
  <c r="AA62" i="7"/>
  <c r="U60" i="7"/>
  <c r="O66" i="7"/>
  <c r="AG65" i="7"/>
  <c r="BW57" i="7"/>
  <c r="AY57" i="7"/>
  <c r="BQ57" i="7" s="1"/>
  <c r="R58" i="7"/>
  <c r="BB57" i="7"/>
  <c r="R51" i="7"/>
  <c r="U59" i="7"/>
  <c r="X59" i="7" s="1"/>
  <c r="O54" i="7"/>
  <c r="U51" i="7"/>
  <c r="U48" i="7"/>
  <c r="Q44" i="7"/>
  <c r="Q36" i="7"/>
  <c r="R40" i="7"/>
  <c r="R39" i="7"/>
  <c r="X39" i="7" s="1"/>
  <c r="U34" i="7"/>
  <c r="O38" i="7"/>
  <c r="X35" i="7"/>
  <c r="X41" i="7"/>
  <c r="U39" i="7"/>
  <c r="R26" i="7"/>
  <c r="O20" i="7"/>
  <c r="Q14" i="7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BA14" i="7" s="1"/>
  <c r="BD14" i="7" s="1"/>
  <c r="BG14" i="7" s="1"/>
  <c r="BJ14" i="7" s="1"/>
  <c r="BM14" i="7" s="1"/>
  <c r="BP14" i="7" s="1"/>
  <c r="BS14" i="7" s="1"/>
  <c r="BV14" i="7" s="1"/>
  <c r="BY14" i="7" s="1"/>
  <c r="CB14" i="7" s="1"/>
  <c r="O14" i="7"/>
  <c r="Q5" i="7"/>
  <c r="O5" i="7"/>
  <c r="AD22" i="7"/>
  <c r="U19" i="7"/>
  <c r="R5" i="7"/>
  <c r="C5" i="9"/>
  <c r="S1" i="7"/>
  <c r="G20" i="8"/>
  <c r="E36" i="8"/>
  <c r="R13" i="7"/>
  <c r="AG11" i="7"/>
  <c r="U8" i="7"/>
  <c r="C17" i="9"/>
  <c r="E37" i="8"/>
  <c r="Q32" i="7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U26" i="7"/>
  <c r="O29" i="7"/>
  <c r="Q12" i="7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BA12" i="7" s="1"/>
  <c r="BD12" i="7" s="1"/>
  <c r="BG12" i="7" s="1"/>
  <c r="BJ12" i="7" s="1"/>
  <c r="BM12" i="7" s="1"/>
  <c r="BP12" i="7" s="1"/>
  <c r="BS12" i="7" s="1"/>
  <c r="BV12" i="7" s="1"/>
  <c r="BY12" i="7" s="1"/>
  <c r="CB12" i="7" s="1"/>
  <c r="U23" i="7"/>
  <c r="W4" i="7"/>
  <c r="U4" i="7"/>
  <c r="E35" i="8"/>
  <c r="U15" i="7"/>
  <c r="C32" i="9"/>
  <c r="E31" i="8"/>
  <c r="C31" i="9"/>
  <c r="C13" i="9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8" i="6"/>
  <c r="Q6" i="6"/>
  <c r="P12" i="6"/>
  <c r="P11" i="6"/>
  <c r="P10" i="6"/>
  <c r="P9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K6" i="6"/>
  <c r="J8" i="6"/>
  <c r="X28" i="7"/>
  <c r="R29" i="7"/>
  <c r="O27" i="7"/>
  <c r="X24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BA18" i="7" s="1"/>
  <c r="BD18" i="7" s="1"/>
  <c r="BG18" i="7" s="1"/>
  <c r="BJ18" i="7" s="1"/>
  <c r="BM18" i="7" s="1"/>
  <c r="BP18" i="7" s="1"/>
  <c r="BS18" i="7" s="1"/>
  <c r="BV18" i="7" s="1"/>
  <c r="BY18" i="7" s="1"/>
  <c r="CB18" i="7" s="1"/>
  <c r="O18" i="7"/>
  <c r="Q9" i="7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BA9" i="7" s="1"/>
  <c r="BD9" i="7" s="1"/>
  <c r="BG9" i="7" s="1"/>
  <c r="BJ9" i="7" s="1"/>
  <c r="BM9" i="7" s="1"/>
  <c r="BP9" i="7" s="1"/>
  <c r="BS9" i="7" s="1"/>
  <c r="BV9" i="7" s="1"/>
  <c r="BY9" i="7" s="1"/>
  <c r="CB9" i="7" s="1"/>
  <c r="AA17" i="7"/>
  <c r="O7" i="7"/>
  <c r="C28" i="9"/>
  <c r="C33" i="9" s="1"/>
  <c r="O9" i="7"/>
  <c r="R7" i="7"/>
  <c r="C9" i="9"/>
  <c r="C25" i="9" s="1"/>
  <c r="E33" i="8"/>
  <c r="E29" i="8" s="1"/>
  <c r="O32" i="7"/>
  <c r="R27" i="7"/>
  <c r="R21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BA16" i="7" s="1"/>
  <c r="BD16" i="7" s="1"/>
  <c r="BG16" i="7" s="1"/>
  <c r="BJ16" i="7" s="1"/>
  <c r="BM16" i="7" s="1"/>
  <c r="BP16" i="7" s="1"/>
  <c r="BS16" i="7" s="1"/>
  <c r="BV16" i="7" s="1"/>
  <c r="BY16" i="7" s="1"/>
  <c r="CB16" i="7" s="1"/>
  <c r="O16" i="7"/>
  <c r="R16" i="7"/>
  <c r="U13" i="7"/>
  <c r="AJ11" i="7"/>
  <c r="X8" i="7"/>
  <c r="F22" i="8"/>
  <c r="F23" i="8"/>
  <c r="F24" i="8" s="1"/>
  <c r="F27" i="8" s="1"/>
  <c r="F28" i="8" s="1"/>
  <c r="C4" i="9"/>
  <c r="C6" i="9" s="1"/>
  <c r="O12" i="7"/>
  <c r="R10" i="7"/>
  <c r="X6" i="7"/>
  <c r="F25" i="8" l="1"/>
  <c r="F31" i="8"/>
  <c r="F37" i="8"/>
  <c r="U10" i="7"/>
  <c r="AD17" i="7"/>
  <c r="K10" i="6"/>
  <c r="K9" i="6"/>
  <c r="K8" i="6"/>
  <c r="K25" i="6"/>
  <c r="K21" i="6"/>
  <c r="K17" i="6"/>
  <c r="K13" i="6"/>
  <c r="K12" i="6"/>
  <c r="K11" i="6"/>
  <c r="K24" i="6"/>
  <c r="K20" i="6"/>
  <c r="K16" i="6"/>
  <c r="L6" i="6"/>
  <c r="K22" i="6"/>
  <c r="K18" i="6"/>
  <c r="K23" i="6"/>
  <c r="K19" i="6"/>
  <c r="K15" i="6"/>
  <c r="K14" i="6"/>
  <c r="G22" i="8"/>
  <c r="G23" i="8"/>
  <c r="G24" i="8" s="1"/>
  <c r="G27" i="8" s="1"/>
  <c r="G28" i="8" s="1"/>
  <c r="X4" i="7"/>
  <c r="R14" i="7"/>
  <c r="T44" i="7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X51" i="7"/>
  <c r="AA35" i="7"/>
  <c r="AD35" i="7" s="1"/>
  <c r="X52" i="7"/>
  <c r="U46" i="7"/>
  <c r="AD62" i="7"/>
  <c r="AD43" i="7"/>
  <c r="AG43" i="7" s="1"/>
  <c r="AA8" i="7"/>
  <c r="X13" i="7"/>
  <c r="R9" i="7"/>
  <c r="Q10" i="6"/>
  <c r="Q9" i="6"/>
  <c r="Q8" i="6"/>
  <c r="R6" i="6"/>
  <c r="Q22" i="6"/>
  <c r="Q18" i="6"/>
  <c r="Q14" i="6"/>
  <c r="Q21" i="6"/>
  <c r="Q17" i="6"/>
  <c r="Q13" i="6"/>
  <c r="Q12" i="6"/>
  <c r="Q11" i="6"/>
  <c r="Q23" i="6"/>
  <c r="Q19" i="6"/>
  <c r="Q25" i="6"/>
  <c r="Q24" i="6"/>
  <c r="Q20" i="6"/>
  <c r="Q16" i="6"/>
  <c r="Q15" i="6"/>
  <c r="U7" i="7"/>
  <c r="R12" i="7"/>
  <c r="R32" i="7"/>
  <c r="H20" i="8"/>
  <c r="V1" i="7"/>
  <c r="X10" i="7"/>
  <c r="AJ22" i="7"/>
  <c r="AM22" i="7" s="1"/>
  <c r="U20" i="7"/>
  <c r="R20" i="7"/>
  <c r="AG22" i="7"/>
  <c r="AA39" i="7"/>
  <c r="T36" i="7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AD39" i="7"/>
  <c r="AD45" i="7"/>
  <c r="AA45" i="7"/>
  <c r="U50" i="7"/>
  <c r="BK57" i="7"/>
  <c r="X33" i="7"/>
  <c r="R36" i="7"/>
  <c r="AA53" i="7"/>
  <c r="AD53" i="7"/>
  <c r="BZ57" i="7"/>
  <c r="U31" i="7"/>
  <c r="AA31" i="7" s="1"/>
  <c r="X34" i="7"/>
  <c r="U42" i="7"/>
  <c r="AA63" i="7"/>
  <c r="AG62" i="7"/>
  <c r="U40" i="7"/>
  <c r="X40" i="7" s="1"/>
  <c r="F36" i="8"/>
  <c r="AA6" i="7"/>
  <c r="U27" i="7"/>
  <c r="AG17" i="7"/>
  <c r="AM17" i="7" s="1"/>
  <c r="U29" i="7"/>
  <c r="X29" i="7"/>
  <c r="AA28" i="7"/>
  <c r="AA13" i="7"/>
  <c r="X15" i="7"/>
  <c r="X7" i="7"/>
  <c r="X26" i="7"/>
  <c r="AJ17" i="7"/>
  <c r="R38" i="7"/>
  <c r="CE57" i="7"/>
  <c r="X60" i="7"/>
  <c r="X37" i="7"/>
  <c r="AA37" i="7" s="1"/>
  <c r="AA52" i="7"/>
  <c r="X49" i="7"/>
  <c r="AA59" i="7"/>
  <c r="CC57" i="7"/>
  <c r="U25" i="7"/>
  <c r="U56" i="7"/>
  <c r="AJ65" i="7"/>
  <c r="AM65" i="7"/>
  <c r="AD64" i="7"/>
  <c r="X31" i="7"/>
  <c r="AA61" i="7"/>
  <c r="X48" i="7"/>
  <c r="BH57" i="7"/>
  <c r="F35" i="8"/>
  <c r="AD6" i="7"/>
  <c r="AA10" i="7"/>
  <c r="U16" i="7"/>
  <c r="U9" i="7"/>
  <c r="AA24" i="7"/>
  <c r="E32" i="8"/>
  <c r="Z4" i="7"/>
  <c r="U12" i="7"/>
  <c r="R18" i="7"/>
  <c r="X23" i="7"/>
  <c r="T5" i="7"/>
  <c r="Q72" i="7"/>
  <c r="X19" i="7"/>
  <c r="U21" i="7"/>
  <c r="X21" i="7" s="1"/>
  <c r="AA41" i="7"/>
  <c r="U58" i="7"/>
  <c r="BN57" i="7"/>
  <c r="BT57" i="7"/>
  <c r="R66" i="7"/>
  <c r="AA19" i="7"/>
  <c r="X30" i="7"/>
  <c r="AG39" i="7"/>
  <c r="X47" i="7"/>
  <c r="AM11" i="7"/>
  <c r="U38" i="7"/>
  <c r="AJ39" i="7"/>
  <c r="R44" i="7"/>
  <c r="R54" i="7"/>
  <c r="AG53" i="7"/>
  <c r="AA48" i="7"/>
  <c r="U55" i="7"/>
  <c r="AD37" i="7" l="1"/>
  <c r="AA40" i="7"/>
  <c r="AD40" i="7" s="1"/>
  <c r="AA23" i="7"/>
  <c r="AD28" i="7"/>
  <c r="U18" i="7"/>
  <c r="AD41" i="7"/>
  <c r="AA60" i="7"/>
  <c r="AD52" i="7"/>
  <c r="X46" i="7"/>
  <c r="AA46" i="7"/>
  <c r="G31" i="8"/>
  <c r="G35" i="8"/>
  <c r="AD10" i="7"/>
  <c r="X12" i="7"/>
  <c r="AA12" i="7" s="1"/>
  <c r="AC4" i="7"/>
  <c r="AD4" i="7" s="1"/>
  <c r="AG64" i="7"/>
  <c r="AP65" i="7"/>
  <c r="X38" i="7"/>
  <c r="AA38" i="7" s="1"/>
  <c r="AA7" i="7"/>
  <c r="U36" i="7"/>
  <c r="Y1" i="7"/>
  <c r="I20" i="8"/>
  <c r="X27" i="7"/>
  <c r="AA27" i="7" s="1"/>
  <c r="U66" i="7"/>
  <c r="X36" i="7"/>
  <c r="AD48" i="7"/>
  <c r="AP17" i="7"/>
  <c r="U14" i="7"/>
  <c r="X14" i="7"/>
  <c r="G36" i="8"/>
  <c r="AS17" i="7"/>
  <c r="AV17" i="7" s="1"/>
  <c r="X50" i="7"/>
  <c r="AA30" i="7"/>
  <c r="U44" i="7"/>
  <c r="U54" i="7"/>
  <c r="AD24" i="7"/>
  <c r="AG6" i="7"/>
  <c r="X56" i="7"/>
  <c r="AG37" i="7"/>
  <c r="AA26" i="7"/>
  <c r="AG15" i="7"/>
  <c r="AA15" i="7"/>
  <c r="AD15" i="7"/>
  <c r="AD63" i="7"/>
  <c r="AG63" i="7"/>
  <c r="AJ53" i="7"/>
  <c r="AA33" i="7"/>
  <c r="AD33" i="7"/>
  <c r="AG33" i="7" s="1"/>
  <c r="AJ64" i="7"/>
  <c r="X58" i="7"/>
  <c r="AA47" i="7"/>
  <c r="AP22" i="7"/>
  <c r="AS22" i="7" s="1"/>
  <c r="H23" i="8"/>
  <c r="H24" i="8" s="1"/>
  <c r="H22" i="8"/>
  <c r="AG10" i="7"/>
  <c r="R25" i="6"/>
  <c r="R11" i="6"/>
  <c r="R21" i="6"/>
  <c r="R17" i="6"/>
  <c r="R13" i="6"/>
  <c r="R12" i="6"/>
  <c r="S6" i="6"/>
  <c r="R24" i="6"/>
  <c r="R20" i="6"/>
  <c r="R16" i="6"/>
  <c r="R10" i="6"/>
  <c r="R22" i="6"/>
  <c r="R18" i="6"/>
  <c r="R23" i="6"/>
  <c r="R19" i="6"/>
  <c r="R15" i="6"/>
  <c r="R9" i="6"/>
  <c r="R14" i="6"/>
  <c r="R8" i="6"/>
  <c r="AD13" i="7"/>
  <c r="AG13" i="7" s="1"/>
  <c r="AJ43" i="7"/>
  <c r="AA34" i="7"/>
  <c r="AG52" i="7"/>
  <c r="AJ62" i="7"/>
  <c r="AD59" i="7"/>
  <c r="AM39" i="7"/>
  <c r="X9" i="7"/>
  <c r="G37" i="8"/>
  <c r="AD8" i="7"/>
  <c r="AD23" i="7"/>
  <c r="L25" i="6"/>
  <c r="L11" i="6"/>
  <c r="L24" i="6"/>
  <c r="L20" i="6"/>
  <c r="L16" i="6"/>
  <c r="L10" i="6"/>
  <c r="M6" i="6"/>
  <c r="L23" i="6"/>
  <c r="L19" i="6"/>
  <c r="L15" i="6"/>
  <c r="L9" i="6"/>
  <c r="L21" i="6"/>
  <c r="L17" i="6"/>
  <c r="L22" i="6"/>
  <c r="L18" i="6"/>
  <c r="L14" i="6"/>
  <c r="L8" i="6"/>
  <c r="L13" i="6"/>
  <c r="L12" i="6"/>
  <c r="AD21" i="7"/>
  <c r="AG21" i="7" s="1"/>
  <c r="AD19" i="7"/>
  <c r="W5" i="7"/>
  <c r="T72" i="7"/>
  <c r="U5" i="7"/>
  <c r="X18" i="7"/>
  <c r="X25" i="7"/>
  <c r="AJ10" i="7"/>
  <c r="AA29" i="7"/>
  <c r="X42" i="7"/>
  <c r="AA42" i="7"/>
  <c r="AD31" i="7"/>
  <c r="AD61" i="7"/>
  <c r="AG45" i="7"/>
  <c r="AJ45" i="7"/>
  <c r="AS65" i="7"/>
  <c r="X20" i="7"/>
  <c r="U32" i="7"/>
  <c r="X16" i="7"/>
  <c r="AA49" i="7"/>
  <c r="AM43" i="7"/>
  <c r="AG41" i="7"/>
  <c r="AP11" i="7"/>
  <c r="AS11" i="7" s="1"/>
  <c r="X55" i="7"/>
  <c r="AA55" i="7" s="1"/>
  <c r="AJ33" i="7"/>
  <c r="AA51" i="7"/>
  <c r="AG35" i="7"/>
  <c r="AA4" i="7"/>
  <c r="G25" i="8"/>
  <c r="AY17" i="7" l="1"/>
  <c r="BB17" i="7" s="1"/>
  <c r="CE17" i="7"/>
  <c r="BE17" i="7"/>
  <c r="BH17" i="7" s="1"/>
  <c r="BK17" i="7" s="1"/>
  <c r="BN17" i="7" s="1"/>
  <c r="AG40" i="7"/>
  <c r="AJ21" i="7"/>
  <c r="H27" i="8"/>
  <c r="H28" i="8" s="1"/>
  <c r="H25" i="8"/>
  <c r="AM45" i="7"/>
  <c r="AS45" i="7" s="1"/>
  <c r="AA16" i="7"/>
  <c r="H36" i="8"/>
  <c r="AP39" i="7"/>
  <c r="AD26" i="7"/>
  <c r="AG48" i="7"/>
  <c r="AM10" i="7"/>
  <c r="AP10" i="7" s="1"/>
  <c r="AA36" i="7"/>
  <c r="AD46" i="7"/>
  <c r="AG23" i="7"/>
  <c r="AJ37" i="7"/>
  <c r="AD51" i="7"/>
  <c r="AD49" i="7"/>
  <c r="AG49" i="7" s="1"/>
  <c r="AG61" i="7"/>
  <c r="AJ61" i="7" s="1"/>
  <c r="AD42" i="7"/>
  <c r="AG42" i="7"/>
  <c r="AJ42" i="7" s="1"/>
  <c r="AG19" i="7"/>
  <c r="M12" i="6"/>
  <c r="N6" i="6"/>
  <c r="O6" i="6" s="1"/>
  <c r="M23" i="6"/>
  <c r="M19" i="6"/>
  <c r="M15" i="6"/>
  <c r="M9" i="6"/>
  <c r="M22" i="6"/>
  <c r="M18" i="6"/>
  <c r="M14" i="6"/>
  <c r="M8" i="6"/>
  <c r="M20" i="6"/>
  <c r="M16" i="6"/>
  <c r="M21" i="6"/>
  <c r="M17" i="6"/>
  <c r="M13" i="6"/>
  <c r="M25" i="6"/>
  <c r="M24" i="6"/>
  <c r="M11" i="6"/>
  <c r="M10" i="6"/>
  <c r="AJ8" i="7"/>
  <c r="AG8" i="7"/>
  <c r="AJ23" i="7"/>
  <c r="AD34" i="7"/>
  <c r="AP43" i="7"/>
  <c r="AS43" i="7" s="1"/>
  <c r="H35" i="8"/>
  <c r="AJ63" i="7"/>
  <c r="X44" i="7"/>
  <c r="AA44" i="7"/>
  <c r="AD30" i="7"/>
  <c r="AA50" i="7"/>
  <c r="AA9" i="7"/>
  <c r="AJ48" i="7"/>
  <c r="AF4" i="7"/>
  <c r="AD60" i="7"/>
  <c r="AJ41" i="7"/>
  <c r="X32" i="7"/>
  <c r="AA20" i="7"/>
  <c r="AP45" i="7"/>
  <c r="AV45" i="7" s="1"/>
  <c r="AM42" i="7"/>
  <c r="AD29" i="7"/>
  <c r="AD16" i="7"/>
  <c r="AA18" i="7"/>
  <c r="X5" i="7"/>
  <c r="AD55" i="7"/>
  <c r="AA25" i="7"/>
  <c r="AJ52" i="7"/>
  <c r="AV43" i="7"/>
  <c r="AY43" i="7" s="1"/>
  <c r="CE43" i="7" s="1"/>
  <c r="S12" i="6"/>
  <c r="S24" i="6"/>
  <c r="S20" i="6"/>
  <c r="S16" i="6"/>
  <c r="S11" i="6"/>
  <c r="S10" i="6"/>
  <c r="S25" i="6"/>
  <c r="S23" i="6"/>
  <c r="S19" i="6"/>
  <c r="S15" i="6"/>
  <c r="S9" i="6"/>
  <c r="S21" i="6"/>
  <c r="S17" i="6"/>
  <c r="S22" i="6"/>
  <c r="S18" i="6"/>
  <c r="S14" i="6"/>
  <c r="S8" i="6"/>
  <c r="S13" i="6"/>
  <c r="T6" i="6"/>
  <c r="H37" i="8"/>
  <c r="H31" i="8"/>
  <c r="AJ15" i="7"/>
  <c r="AA56" i="7"/>
  <c r="AG30" i="7"/>
  <c r="AA14" i="7"/>
  <c r="AD27" i="7"/>
  <c r="I22" i="8"/>
  <c r="I23" i="8"/>
  <c r="I24" i="8"/>
  <c r="I27" i="8" s="1"/>
  <c r="I28" i="8" s="1"/>
  <c r="AV11" i="7"/>
  <c r="AY11" i="7" s="1"/>
  <c r="AD7" i="7"/>
  <c r="AM23" i="7"/>
  <c r="AP23" i="7" s="1"/>
  <c r="AD38" i="7"/>
  <c r="AG46" i="7"/>
  <c r="AJ46" i="7" s="1"/>
  <c r="AM48" i="7"/>
  <c r="AP48" i="7" s="1"/>
  <c r="AS39" i="7"/>
  <c r="AV39" i="7" s="1"/>
  <c r="AD12" i="7"/>
  <c r="AM62" i="7"/>
  <c r="AD32" i="7"/>
  <c r="AA32" i="7"/>
  <c r="Z5" i="7"/>
  <c r="W72" i="7"/>
  <c r="AG59" i="7"/>
  <c r="AM21" i="7"/>
  <c r="AP21" i="7" s="1"/>
  <c r="AA58" i="7"/>
  <c r="AP33" i="7"/>
  <c r="AS33" i="7" s="1"/>
  <c r="AV33" i="7" s="1"/>
  <c r="AM33" i="7"/>
  <c r="AD47" i="7"/>
  <c r="AG31" i="7"/>
  <c r="AG24" i="7"/>
  <c r="AJ24" i="7" s="1"/>
  <c r="X54" i="7"/>
  <c r="AB1" i="7"/>
  <c r="J20" i="8"/>
  <c r="AJ13" i="7"/>
  <c r="AV65" i="7"/>
  <c r="AY65" i="7" s="1"/>
  <c r="CE65" i="7" s="1"/>
  <c r="AM64" i="7"/>
  <c r="AD44" i="7"/>
  <c r="AG16" i="7"/>
  <c r="AG7" i="7"/>
  <c r="AD50" i="7"/>
  <c r="AM53" i="7"/>
  <c r="AJ6" i="7"/>
  <c r="AG28" i="7"/>
  <c r="X66" i="7"/>
  <c r="AS48" i="7"/>
  <c r="AV48" i="7" s="1"/>
  <c r="AJ35" i="7"/>
  <c r="AV22" i="7"/>
  <c r="AM37" i="7"/>
  <c r="I25" i="8" l="1"/>
  <c r="AJ49" i="7"/>
  <c r="AM49" i="7" s="1"/>
  <c r="AP49" i="7" s="1"/>
  <c r="AS49" i="7" s="1"/>
  <c r="AV49" i="7" s="1"/>
  <c r="AY49" i="7" s="1"/>
  <c r="AY45" i="7"/>
  <c r="AY39" i="7"/>
  <c r="AS23" i="7"/>
  <c r="AM24" i="7"/>
  <c r="AP24" i="7" s="1"/>
  <c r="AM46" i="7"/>
  <c r="CE11" i="7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AM61" i="7"/>
  <c r="AP61" i="7" s="1"/>
  <c r="AJ28" i="7"/>
  <c r="AP64" i="7"/>
  <c r="K20" i="8"/>
  <c r="AE1" i="7"/>
  <c r="AA54" i="7"/>
  <c r="AD54" i="7"/>
  <c r="AA5" i="7"/>
  <c r="I37" i="8"/>
  <c r="AD18" i="7"/>
  <c r="AG29" i="7"/>
  <c r="AI4" i="7"/>
  <c r="AM41" i="7"/>
  <c r="AG50" i="7"/>
  <c r="AM52" i="7"/>
  <c r="AP52" i="7" s="1"/>
  <c r="AS52" i="7" s="1"/>
  <c r="AD36" i="7"/>
  <c r="AJ31" i="7"/>
  <c r="AM31" i="7" s="1"/>
  <c r="AP31" i="7" s="1"/>
  <c r="AS31" i="7" s="1"/>
  <c r="AV31" i="7" s="1"/>
  <c r="AY31" i="7" s="1"/>
  <c r="AJ19" i="7"/>
  <c r="BN45" i="7"/>
  <c r="BQ45" i="7" s="1"/>
  <c r="BT45" i="7" s="1"/>
  <c r="AG38" i="7"/>
  <c r="AP53" i="7"/>
  <c r="AG27" i="7"/>
  <c r="AJ27" i="7" s="1"/>
  <c r="AM27" i="7" s="1"/>
  <c r="BB65" i="7"/>
  <c r="BE65" i="7" s="1"/>
  <c r="BH65" i="7" s="1"/>
  <c r="BK65" i="7" s="1"/>
  <c r="BN65" i="7" s="1"/>
  <c r="BQ65" i="7" s="1"/>
  <c r="BT65" i="7" s="1"/>
  <c r="BW65" i="7"/>
  <c r="AG54" i="7"/>
  <c r="AG47" i="7"/>
  <c r="AD58" i="7"/>
  <c r="AS64" i="7"/>
  <c r="AV64" i="7" s="1"/>
  <c r="AY64" i="7" s="1"/>
  <c r="AD14" i="7"/>
  <c r="AM35" i="7"/>
  <c r="AP35" i="7" s="1"/>
  <c r="AS35" i="7" s="1"/>
  <c r="AV35" i="7" s="1"/>
  <c r="AY35" i="7" s="1"/>
  <c r="AV23" i="7"/>
  <c r="AY23" i="7" s="1"/>
  <c r="BB23" i="7" s="1"/>
  <c r="BE23" i="7" s="1"/>
  <c r="BH23" i="7" s="1"/>
  <c r="BK23" i="7" s="1"/>
  <c r="BN23" i="7" s="1"/>
  <c r="BQ23" i="7" s="1"/>
  <c r="BT23" i="7" s="1"/>
  <c r="BW23" i="7" s="1"/>
  <c r="BZ23" i="7" s="1"/>
  <c r="CC23" i="7" s="1"/>
  <c r="AP41" i="7"/>
  <c r="AS41" i="7" s="1"/>
  <c r="AJ50" i="7"/>
  <c r="AP50" i="7" s="1"/>
  <c r="AS50" i="7" s="1"/>
  <c r="AV50" i="7" s="1"/>
  <c r="AY50" i="7" s="1"/>
  <c r="AG44" i="7"/>
  <c r="AJ44" i="7" s="1"/>
  <c r="AM44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M8" i="7"/>
  <c r="AD20" i="7"/>
  <c r="AG51" i="7"/>
  <c r="AS53" i="7"/>
  <c r="AV53" i="7" s="1"/>
  <c r="AY53" i="7" s="1"/>
  <c r="AS10" i="7"/>
  <c r="AV10" i="7" s="1"/>
  <c r="AY10" i="7" s="1"/>
  <c r="BE45" i="7"/>
  <c r="BH45" i="7" s="1"/>
  <c r="BZ45" i="7"/>
  <c r="CC45" i="7" s="1"/>
  <c r="BW45" i="7"/>
  <c r="AJ40" i="7"/>
  <c r="AJ16" i="7"/>
  <c r="AM16" i="7" s="1"/>
  <c r="AP16" i="7" s="1"/>
  <c r="AS16" i="7" s="1"/>
  <c r="AV16" i="7" s="1"/>
  <c r="AY16" i="7" s="1"/>
  <c r="BQ17" i="7"/>
  <c r="BT17" i="7" s="1"/>
  <c r="BW17" i="7" s="1"/>
  <c r="BZ17" i="7" s="1"/>
  <c r="CC17" i="7" s="1"/>
  <c r="AM6" i="7"/>
  <c r="AP6" i="7" s="1"/>
  <c r="AS6" i="7" s="1"/>
  <c r="AV6" i="7" s="1"/>
  <c r="AY6" i="7" s="1"/>
  <c r="AC5" i="7"/>
  <c r="Z72" i="7"/>
  <c r="AJ7" i="7"/>
  <c r="AM7" i="7" s="1"/>
  <c r="I35" i="8"/>
  <c r="I31" i="8"/>
  <c r="AP27" i="7"/>
  <c r="AS27" i="7" s="1"/>
  <c r="AV27" i="7" s="1"/>
  <c r="AY27" i="7" s="1"/>
  <c r="AG56" i="7"/>
  <c r="AD56" i="7"/>
  <c r="AS56" i="7" s="1"/>
  <c r="AV56" i="7" s="1"/>
  <c r="AY56" i="7" s="1"/>
  <c r="CE56" i="7" s="1"/>
  <c r="AJ56" i="7"/>
  <c r="AM56" i="7" s="1"/>
  <c r="AP56" i="7" s="1"/>
  <c r="AM15" i="7"/>
  <c r="AP15" i="7"/>
  <c r="AS15" i="7" s="1"/>
  <c r="AV15" i="7" s="1"/>
  <c r="T25" i="6"/>
  <c r="W25" i="6" s="1"/>
  <c r="T24" i="6"/>
  <c r="W24" i="6" s="1"/>
  <c r="T23" i="6"/>
  <c r="W23" i="6" s="1"/>
  <c r="T22" i="6"/>
  <c r="W22" i="6" s="1"/>
  <c r="T21" i="6"/>
  <c r="W21" i="6" s="1"/>
  <c r="T20" i="6"/>
  <c r="W20" i="6" s="1"/>
  <c r="T19" i="6"/>
  <c r="W19" i="6" s="1"/>
  <c r="T18" i="6"/>
  <c r="W18" i="6" s="1"/>
  <c r="T17" i="6"/>
  <c r="W17" i="6" s="1"/>
  <c r="T16" i="6"/>
  <c r="W16" i="6" s="1"/>
  <c r="T15" i="6"/>
  <c r="W15" i="6" s="1"/>
  <c r="T14" i="6"/>
  <c r="W14" i="6" s="1"/>
  <c r="T13" i="6"/>
  <c r="W13" i="6" s="1"/>
  <c r="T9" i="6"/>
  <c r="W9" i="6" s="1"/>
  <c r="T8" i="6"/>
  <c r="W8" i="6" s="1"/>
  <c r="U6" i="6"/>
  <c r="V6" i="6" s="1"/>
  <c r="T12" i="6"/>
  <c r="W12" i="6" s="1"/>
  <c r="T11" i="6"/>
  <c r="W11" i="6" s="1"/>
  <c r="T10" i="6"/>
  <c r="AD25" i="7"/>
  <c r="AG60" i="7"/>
  <c r="AM50" i="7"/>
  <c r="BH50" i="7" s="1"/>
  <c r="BK50" i="7" s="1"/>
  <c r="BN50" i="7" s="1"/>
  <c r="AG12" i="7"/>
  <c r="AJ12" i="7" s="1"/>
  <c r="AM12" i="7" s="1"/>
  <c r="AP12" i="7" s="1"/>
  <c r="AS12" i="7" s="1"/>
  <c r="AV12" i="7" s="1"/>
  <c r="AY12" i="7" s="1"/>
  <c r="CE23" i="7"/>
  <c r="AV37" i="7"/>
  <c r="AP46" i="7"/>
  <c r="AS46" i="7" s="1"/>
  <c r="AA66" i="7"/>
  <c r="AD66" i="7" s="1"/>
  <c r="AG66" i="7" s="1"/>
  <c r="AJ66" i="7" s="1"/>
  <c r="AM66" i="7" s="1"/>
  <c r="AP66" i="7" s="1"/>
  <c r="AS66" i="7" s="1"/>
  <c r="AV66" i="7" s="1"/>
  <c r="BQ39" i="7"/>
  <c r="BT39" i="7" s="1"/>
  <c r="BW39" i="7" s="1"/>
  <c r="BZ39" i="7" s="1"/>
  <c r="CC39" i="7" s="1"/>
  <c r="BK45" i="7"/>
  <c r="AP37" i="7"/>
  <c r="AS37" i="7" s="1"/>
  <c r="AY22" i="7"/>
  <c r="CE22" i="7" s="1"/>
  <c r="BK53" i="7"/>
  <c r="BT53" i="7"/>
  <c r="BE53" i="7"/>
  <c r="BQ53" i="7"/>
  <c r="CE53" i="7"/>
  <c r="BH53" i="7"/>
  <c r="BW53" i="7"/>
  <c r="BZ53" i="7" s="1"/>
  <c r="CC53" i="7" s="1"/>
  <c r="BB53" i="7"/>
  <c r="BZ65" i="7"/>
  <c r="CC65" i="7" s="1"/>
  <c r="J37" i="8"/>
  <c r="J35" i="8"/>
  <c r="J22" i="8"/>
  <c r="J36" i="8"/>
  <c r="J31" i="8"/>
  <c r="J23" i="8"/>
  <c r="J24" i="8" s="1"/>
  <c r="J27" i="8" s="1"/>
  <c r="J28" i="8" s="1"/>
  <c r="AY33" i="7"/>
  <c r="CE33" i="7" s="1"/>
  <c r="AJ59" i="7"/>
  <c r="AP62" i="7"/>
  <c r="AM13" i="7"/>
  <c r="AP13" i="7" s="1"/>
  <c r="AS13" i="7" s="1"/>
  <c r="AV13" i="7" s="1"/>
  <c r="AY13" i="7" s="1"/>
  <c r="AP7" i="7"/>
  <c r="I36" i="8"/>
  <c r="AJ54" i="7"/>
  <c r="AM54" i="7" s="1"/>
  <c r="AP54" i="7" s="1"/>
  <c r="AS54" i="7" s="1"/>
  <c r="AG32" i="7"/>
  <c r="AG55" i="7"/>
  <c r="AS21" i="7"/>
  <c r="AV21" i="7" s="1"/>
  <c r="AY21" i="7" s="1"/>
  <c r="AJ30" i="7"/>
  <c r="BN53" i="7"/>
  <c r="AG34" i="7"/>
  <c r="AJ34" i="7"/>
  <c r="AP8" i="7"/>
  <c r="AS8" i="7" s="1"/>
  <c r="AV8" i="7" s="1"/>
  <c r="AY8" i="7" s="1"/>
  <c r="CE8" i="7" s="1"/>
  <c r="W10" i="6"/>
  <c r="AP42" i="7"/>
  <c r="AD9" i="7"/>
  <c r="AS24" i="7"/>
  <c r="AV24" i="7" s="1"/>
  <c r="AS62" i="7"/>
  <c r="AY48" i="7"/>
  <c r="BB48" i="7" s="1"/>
  <c r="BE48" i="7" s="1"/>
  <c r="BH48" i="7" s="1"/>
  <c r="BK48" i="7" s="1"/>
  <c r="BN48" i="7" s="1"/>
  <c r="BQ48" i="7" s="1"/>
  <c r="BT48" i="7" s="1"/>
  <c r="BW48" i="7" s="1"/>
  <c r="BZ48" i="7" s="1"/>
  <c r="CC48" i="7" s="1"/>
  <c r="AG14" i="7"/>
  <c r="AJ14" i="7" s="1"/>
  <c r="AG26" i="7"/>
  <c r="AG4" i="7"/>
  <c r="AJ38" i="7"/>
  <c r="AM38" i="7" s="1"/>
  <c r="AP38" i="7" s="1"/>
  <c r="AS38" i="7" s="1"/>
  <c r="AV38" i="7" s="1"/>
  <c r="AY38" i="7" s="1"/>
  <c r="AM63" i="7"/>
  <c r="J25" i="8" l="1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21" i="7"/>
  <c r="CE10" i="7"/>
  <c r="BB10" i="7"/>
  <c r="BE10" i="7" s="1"/>
  <c r="BH10" i="7" s="1"/>
  <c r="BK10" i="7" s="1"/>
  <c r="BN10" i="7" s="1"/>
  <c r="BQ10" i="7" s="1"/>
  <c r="BT10" i="7" s="1"/>
  <c r="BW10" i="7" s="1"/>
  <c r="BZ10" i="7" s="1"/>
  <c r="CC10" i="7" s="1"/>
  <c r="AV41" i="7"/>
  <c r="AY41" i="7" s="1"/>
  <c r="BB64" i="7"/>
  <c r="CE64" i="7"/>
  <c r="AV52" i="7"/>
  <c r="AY52" i="7" s="1"/>
  <c r="BZ52" i="7"/>
  <c r="CC52" i="7" s="1"/>
  <c r="BN52" i="7"/>
  <c r="BQ52" i="7" s="1"/>
  <c r="BT52" i="7" s="1"/>
  <c r="BE64" i="7"/>
  <c r="BH64" i="7" s="1"/>
  <c r="BK64" i="7" s="1"/>
  <c r="BN64" i="7" s="1"/>
  <c r="BQ64" i="7" s="1"/>
  <c r="BT64" i="7" s="1"/>
  <c r="BW64" i="7" s="1"/>
  <c r="BZ64" i="7" s="1"/>
  <c r="CC64" i="7" s="1"/>
  <c r="CE38" i="7"/>
  <c r="BB38" i="7"/>
  <c r="BE38" i="7" s="1"/>
  <c r="BH38" i="7" s="1"/>
  <c r="BK38" i="7" s="1"/>
  <c r="BN38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BQ56" i="7"/>
  <c r="BT56" i="7" s="1"/>
  <c r="BW56" i="7" s="1"/>
  <c r="BZ56" i="7" s="1"/>
  <c r="AP44" i="7"/>
  <c r="AS44" i="7" s="1"/>
  <c r="AV44" i="7" s="1"/>
  <c r="AY44" i="7" s="1"/>
  <c r="CE44" i="7" s="1"/>
  <c r="AV54" i="7"/>
  <c r="AY54" i="7" s="1"/>
  <c r="CE12" i="7"/>
  <c r="BB12" i="7"/>
  <c r="BE12" i="7" s="1"/>
  <c r="BH12" i="7" s="1"/>
  <c r="BK12" i="7" s="1"/>
  <c r="BN12" i="7" s="1"/>
  <c r="BQ12" i="7" s="1"/>
  <c r="BT12" i="7" s="1"/>
  <c r="BW12" i="7" s="1"/>
  <c r="BZ12" i="7" s="1"/>
  <c r="CC12" i="7" s="1"/>
  <c r="BB27" i="7"/>
  <c r="CE27" i="7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B50" i="7"/>
  <c r="BE50" i="7" s="1"/>
  <c r="CE50" i="7"/>
  <c r="AS61" i="7"/>
  <c r="AV61" i="7" s="1"/>
  <c r="AY61" i="7" s="1"/>
  <c r="BB49" i="7"/>
  <c r="BE49" i="7" s="1"/>
  <c r="BH49" i="7" s="1"/>
  <c r="BK49" i="7" s="1"/>
  <c r="BN49" i="7" s="1"/>
  <c r="CE49" i="7"/>
  <c r="AJ60" i="7"/>
  <c r="AM60" i="7"/>
  <c r="AP60" i="7" s="1"/>
  <c r="AS60" i="7" s="1"/>
  <c r="AV60" i="7" s="1"/>
  <c r="AY60" i="7" s="1"/>
  <c r="BB56" i="7"/>
  <c r="BQ50" i="7"/>
  <c r="BT50" i="7" s="1"/>
  <c r="BW50" i="7" s="1"/>
  <c r="AM19" i="7"/>
  <c r="AP19" i="7" s="1"/>
  <c r="AS19" i="7" s="1"/>
  <c r="AV19" i="7" s="1"/>
  <c r="AY19" i="7" s="1"/>
  <c r="AJ29" i="7"/>
  <c r="AY24" i="7"/>
  <c r="AM30" i="7"/>
  <c r="AP30" i="7" s="1"/>
  <c r="AS30" i="7" s="1"/>
  <c r="AV30" i="7" s="1"/>
  <c r="AY30" i="7" s="1"/>
  <c r="BB45" i="7"/>
  <c r="CE45" i="7"/>
  <c r="AJ26" i="7"/>
  <c r="CE48" i="7"/>
  <c r="AM59" i="7"/>
  <c r="C9" i="6"/>
  <c r="C10" i="6" s="1"/>
  <c r="AS7" i="7"/>
  <c r="AV7" i="7" s="1"/>
  <c r="AY7" i="7" s="1"/>
  <c r="AF5" i="7"/>
  <c r="AD5" i="7"/>
  <c r="AC72" i="7"/>
  <c r="AM14" i="7"/>
  <c r="AJ55" i="7"/>
  <c r="AM55" i="7" s="1"/>
  <c r="AP55" i="7" s="1"/>
  <c r="AS55" i="7" s="1"/>
  <c r="AV55" i="7" s="1"/>
  <c r="AY55" i="7" s="1"/>
  <c r="AG36" i="7"/>
  <c r="BZ50" i="7"/>
  <c r="CC50" i="7" s="1"/>
  <c r="AL4" i="7"/>
  <c r="AG18" i="7"/>
  <c r="BH54" i="7"/>
  <c r="BK54" i="7" s="1"/>
  <c r="BN54" i="7" s="1"/>
  <c r="AM28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Q49" i="7"/>
  <c r="BT49" i="7" s="1"/>
  <c r="BW49" i="7" s="1"/>
  <c r="BZ49" i="7" s="1"/>
  <c r="CC49" i="7" s="1"/>
  <c r="AJ32" i="7"/>
  <c r="AV62" i="7"/>
  <c r="AY62" i="7" s="1"/>
  <c r="CC56" i="7"/>
  <c r="BQ54" i="7"/>
  <c r="BT54" i="7" s="1"/>
  <c r="BW54" i="7" s="1"/>
  <c r="BZ54" i="7" s="1"/>
  <c r="AJ51" i="7"/>
  <c r="BQ38" i="7"/>
  <c r="BT38" i="7" s="1"/>
  <c r="BW38" i="7" s="1"/>
  <c r="BZ38" i="7" s="1"/>
  <c r="CC38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L20" i="8"/>
  <c r="AH1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AJ47" i="7"/>
  <c r="AJ4" i="7"/>
  <c r="AP63" i="7"/>
  <c r="AS63" i="7" s="1"/>
  <c r="AV63" i="7" s="1"/>
  <c r="AY63" i="7" s="1"/>
  <c r="AG9" i="7"/>
  <c r="AJ9" i="7"/>
  <c r="AM9" i="7" s="1"/>
  <c r="AP9" i="7" s="1"/>
  <c r="AS9" i="7" s="1"/>
  <c r="AV9" i="7" s="1"/>
  <c r="AY9" i="7" s="1"/>
  <c r="AM34" i="7"/>
  <c r="AP34" i="7" s="1"/>
  <c r="AS34" i="7" s="1"/>
  <c r="BW62" i="7"/>
  <c r="BZ62" i="7" s="1"/>
  <c r="CC62" i="7" s="1"/>
  <c r="AP14" i="7"/>
  <c r="AV46" i="7"/>
  <c r="AY37" i="7"/>
  <c r="AG25" i="7"/>
  <c r="AJ25" i="7"/>
  <c r="AM25" i="7" s="1"/>
  <c r="AP25" i="7" s="1"/>
  <c r="AS25" i="7" s="1"/>
  <c r="AV25" i="7" s="1"/>
  <c r="AY25" i="7" s="1"/>
  <c r="AY15" i="7"/>
  <c r="BE56" i="7"/>
  <c r="BH56" i="7" s="1"/>
  <c r="BK56" i="7" s="1"/>
  <c r="BN56" i="7" s="1"/>
  <c r="BK40" i="7"/>
  <c r="BN40" i="7" s="1"/>
  <c r="BQ40" i="7" s="1"/>
  <c r="BT40" i="7" s="1"/>
  <c r="BW40" i="7" s="1"/>
  <c r="BZ40" i="7" s="1"/>
  <c r="CC40" i="7" s="1"/>
  <c r="AM40" i="7"/>
  <c r="AP40" i="7" s="1"/>
  <c r="AS40" i="7" s="1"/>
  <c r="AV40" i="7" s="1"/>
  <c r="AY40" i="7" s="1"/>
  <c r="BB8" i="7"/>
  <c r="BE8" i="7" s="1"/>
  <c r="BH8" i="7" s="1"/>
  <c r="BK8" i="7" s="1"/>
  <c r="BN8" i="7" s="1"/>
  <c r="BQ8" i="7" s="1"/>
  <c r="BT8" i="7" s="1"/>
  <c r="BW8" i="7" s="1"/>
  <c r="BZ8" i="7" s="1"/>
  <c r="CC8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S14" i="7"/>
  <c r="AV14" i="7" s="1"/>
  <c r="AY14" i="7" s="1"/>
  <c r="CE14" i="7" s="1"/>
  <c r="BE27" i="7"/>
  <c r="BH27" i="7" s="1"/>
  <c r="BK27" i="7" s="1"/>
  <c r="BN27" i="7" s="1"/>
  <c r="BQ27" i="7" s="1"/>
  <c r="BT27" i="7" s="1"/>
  <c r="BW27" i="7" s="1"/>
  <c r="BZ27" i="7" s="1"/>
  <c r="CC27" i="7" s="1"/>
  <c r="AM32" i="7"/>
  <c r="AP32" i="7" s="1"/>
  <c r="AS32" i="7" s="1"/>
  <c r="AV32" i="7" s="1"/>
  <c r="AY32" i="7" s="1"/>
  <c r="AG58" i="7"/>
  <c r="AY66" i="7"/>
  <c r="AS42" i="7"/>
  <c r="AV42" i="7" s="1"/>
  <c r="AY42" i="7" s="1"/>
  <c r="AM26" i="7"/>
  <c r="AP26" i="7" s="1"/>
  <c r="AS26" i="7" s="1"/>
  <c r="AV26" i="7" s="1"/>
  <c r="AY26" i="7" s="1"/>
  <c r="BW52" i="7"/>
  <c r="AG20" i="7"/>
  <c r="AJ20" i="7" s="1"/>
  <c r="AM20" i="7" s="1"/>
  <c r="CC54" i="7"/>
  <c r="K37" i="8"/>
  <c r="K22" i="8"/>
  <c r="K23" i="8"/>
  <c r="K24" i="8" s="1"/>
  <c r="K27" i="8" s="1"/>
  <c r="K28" i="8" s="1"/>
  <c r="K35" i="8"/>
  <c r="K36" i="8"/>
  <c r="K31" i="8"/>
  <c r="BB39" i="7"/>
  <c r="BE39" i="7" s="1"/>
  <c r="BH39" i="7" s="1"/>
  <c r="BK39" i="7" s="1"/>
  <c r="BN39" i="7" s="1"/>
  <c r="CE39" i="7"/>
  <c r="K25" i="8" l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9" i="7"/>
  <c r="BB9" i="7"/>
  <c r="BE9" i="7" s="1"/>
  <c r="BH9" i="7" s="1"/>
  <c r="BK9" i="7" s="1"/>
  <c r="BN9" i="7" s="1"/>
  <c r="BQ9" i="7" s="1"/>
  <c r="BT9" i="7" s="1"/>
  <c r="BW9" i="7" s="1"/>
  <c r="BZ9" i="7" s="1"/>
  <c r="CC9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30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CE7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25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63" i="7"/>
  <c r="CE60" i="7"/>
  <c r="BB60" i="7"/>
  <c r="BE60" i="7" s="1"/>
  <c r="BH60" i="7" s="1"/>
  <c r="BK60" i="7" s="1"/>
  <c r="BN60" i="7" s="1"/>
  <c r="BQ60" i="7" s="1"/>
  <c r="BT60" i="7" s="1"/>
  <c r="BW60" i="7" s="1"/>
  <c r="BZ60" i="7" s="1"/>
  <c r="CC60" i="7" s="1"/>
  <c r="CE40" i="7"/>
  <c r="BB40" i="7"/>
  <c r="BE40" i="7" s="1"/>
  <c r="BH40" i="7" s="1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AY46" i="7"/>
  <c r="CE46" i="7" s="1"/>
  <c r="AM47" i="7"/>
  <c r="AP47" i="7" s="1"/>
  <c r="AS47" i="7" s="1"/>
  <c r="AV47" i="7" s="1"/>
  <c r="AY47" i="7" s="1"/>
  <c r="AJ58" i="7"/>
  <c r="AM58" i="7" s="1"/>
  <c r="AP58" i="7" s="1"/>
  <c r="AS58" i="7" s="1"/>
  <c r="AV58" i="7" s="1"/>
  <c r="AY58" i="7" s="1"/>
  <c r="AM51" i="7"/>
  <c r="AM29" i="7"/>
  <c r="AP29" i="7"/>
  <c r="AS29" i="7" s="1"/>
  <c r="AV29" i="7" s="1"/>
  <c r="AY29" i="7" s="1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AO4" i="7"/>
  <c r="AM4" i="7"/>
  <c r="AP59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CE24" i="7"/>
  <c r="CE52" i="7"/>
  <c r="BB52" i="7"/>
  <c r="BE52" i="7" s="1"/>
  <c r="BH52" i="7" s="1"/>
  <c r="BK52" i="7" s="1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AK1" i="7"/>
  <c r="M20" i="8"/>
  <c r="CE62" i="7"/>
  <c r="BB62" i="7"/>
  <c r="BE62" i="7" s="1"/>
  <c r="BH62" i="7" s="1"/>
  <c r="BK62" i="7" s="1"/>
  <c r="BN62" i="7" s="1"/>
  <c r="BQ62" i="7" s="1"/>
  <c r="BT62" i="7" s="1"/>
  <c r="AJ18" i="7"/>
  <c r="AM18" i="7" s="1"/>
  <c r="AP18" i="7" s="1"/>
  <c r="AS18" i="7"/>
  <c r="AV18" i="7" s="1"/>
  <c r="AY18" i="7" s="1"/>
  <c r="CE18" i="7" s="1"/>
  <c r="AJ36" i="7"/>
  <c r="AM36" i="7" s="1"/>
  <c r="AP36" i="7" s="1"/>
  <c r="AS36" i="7" s="1"/>
  <c r="AV36" i="7" s="1"/>
  <c r="AY36" i="7" s="1"/>
  <c r="CE61" i="7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BB66" i="7"/>
  <c r="BE66" i="7" s="1"/>
  <c r="BH66" i="7" s="1"/>
  <c r="BK66" i="7" s="1"/>
  <c r="BN66" i="7" s="1"/>
  <c r="BQ66" i="7" s="1"/>
  <c r="BT66" i="7" s="1"/>
  <c r="BW66" i="7" s="1"/>
  <c r="BZ66" i="7" s="1"/>
  <c r="CC66" i="7" s="1"/>
  <c r="CE66" i="7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E37" i="7"/>
  <c r="BB37" i="7"/>
  <c r="BE37" i="7" s="1"/>
  <c r="BH37" i="7" s="1"/>
  <c r="BK37" i="7" s="1"/>
  <c r="BN37" i="7"/>
  <c r="BQ37" i="7" s="1"/>
  <c r="BT37" i="7" s="1"/>
  <c r="BW37" i="7" s="1"/>
  <c r="BZ37" i="7" s="1"/>
  <c r="CC37" i="7" s="1"/>
  <c r="AV34" i="7"/>
  <c r="AY34" i="7" s="1"/>
  <c r="L23" i="8"/>
  <c r="L24" i="8" s="1"/>
  <c r="L27" i="8" s="1"/>
  <c r="L28" i="8" s="1"/>
  <c r="L35" i="8"/>
  <c r="L22" i="8"/>
  <c r="AP20" i="7"/>
  <c r="AS20" i="7" s="1"/>
  <c r="AV20" i="7" s="1"/>
  <c r="AY20" i="7" s="1"/>
  <c r="AP28" i="7"/>
  <c r="AS28" i="7" s="1"/>
  <c r="AV28" i="7" s="1"/>
  <c r="AY28" i="7" s="1"/>
  <c r="AI5" i="7"/>
  <c r="AG5" i="7"/>
  <c r="L36" i="8" s="1"/>
  <c r="AF72" i="7"/>
  <c r="BB54" i="7"/>
  <c r="BE54" i="7" s="1"/>
  <c r="CE5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CE29" i="7" l="1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36" i="7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AP51" i="7"/>
  <c r="AS51" i="7" s="1"/>
  <c r="AV51" i="7" s="1"/>
  <c r="AY51" i="7" s="1"/>
  <c r="CE51" i="7" s="1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CE20" i="7"/>
  <c r="L37" i="8"/>
  <c r="L31" i="8"/>
  <c r="M23" i="8"/>
  <c r="M24" i="8" s="1"/>
  <c r="M36" i="8"/>
  <c r="M22" i="8"/>
  <c r="AR4" i="7"/>
  <c r="AP4" i="7"/>
  <c r="AL5" i="7"/>
  <c r="AJ5" i="7"/>
  <c r="M37" i="8" s="1"/>
  <c r="AI72" i="7"/>
  <c r="AN1" i="7"/>
  <c r="N20" i="8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L25" i="8"/>
  <c r="AS59" i="7"/>
  <c r="AV59" i="7" s="1"/>
  <c r="AY59" i="7" s="1"/>
  <c r="M27" i="8" l="1"/>
  <c r="M28" i="8" s="1"/>
  <c r="M25" i="8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AQ1" i="7"/>
  <c r="O20" i="8"/>
  <c r="N22" i="8"/>
  <c r="N23" i="8"/>
  <c r="N24" i="8" s="1"/>
  <c r="N27" i="8" s="1"/>
  <c r="N28" i="8" s="1"/>
  <c r="AO5" i="7"/>
  <c r="AM5" i="7"/>
  <c r="N36" i="8" s="1"/>
  <c r="AL72" i="7"/>
  <c r="M31" i="8"/>
  <c r="M35" i="8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AU4" i="7"/>
  <c r="AS4" i="7"/>
  <c r="N35" i="8" l="1"/>
  <c r="AX4" i="7"/>
  <c r="AV4" i="7"/>
  <c r="AR5" i="7"/>
  <c r="AP5" i="7"/>
  <c r="AO72" i="7"/>
  <c r="N31" i="8"/>
  <c r="N37" i="8"/>
  <c r="O35" i="8"/>
  <c r="O36" i="8"/>
  <c r="O31" i="8"/>
  <c r="O37" i="8"/>
  <c r="O22" i="8"/>
  <c r="O23" i="8"/>
  <c r="O24" i="8" s="1"/>
  <c r="O27" i="8" s="1"/>
  <c r="N25" i="8"/>
  <c r="P20" i="8"/>
  <c r="AT1" i="7"/>
  <c r="O28" i="8" l="1"/>
  <c r="AU5" i="7"/>
  <c r="AS5" i="7"/>
  <c r="AR72" i="7"/>
  <c r="AW1" i="7"/>
  <c r="Q20" i="8"/>
  <c r="P36" i="8"/>
  <c r="P31" i="8"/>
  <c r="P23" i="8"/>
  <c r="P37" i="8"/>
  <c r="P35" i="8"/>
  <c r="P24" i="8"/>
  <c r="P27" i="8" s="1"/>
  <c r="P28" i="8" s="1"/>
  <c r="P22" i="8"/>
  <c r="O25" i="8"/>
  <c r="BA4" i="7"/>
  <c r="AY4" i="7"/>
  <c r="CE4" i="7" s="1"/>
  <c r="P25" i="8" l="1"/>
  <c r="F33" i="8"/>
  <c r="Q22" i="8"/>
  <c r="Q23" i="8"/>
  <c r="Q24" i="8" s="1"/>
  <c r="Q27" i="8" s="1"/>
  <c r="Q28" i="8" s="1"/>
  <c r="AX5" i="7"/>
  <c r="AV5" i="7"/>
  <c r="Q31" i="8" s="1"/>
  <c r="AU72" i="7"/>
  <c r="BD4" i="7"/>
  <c r="BB4" i="7"/>
  <c r="AZ1" i="7"/>
  <c r="BC1" i="7" s="1"/>
  <c r="BF1" i="7" s="1"/>
  <c r="BI1" i="7" s="1"/>
  <c r="BL1" i="7" s="1"/>
  <c r="BO1" i="7" s="1"/>
  <c r="BR1" i="7" s="1"/>
  <c r="BU1" i="7" s="1"/>
  <c r="BX1" i="7" s="1"/>
  <c r="CA1" i="7" s="1"/>
  <c r="R20" i="8"/>
  <c r="BG4" i="7" l="1"/>
  <c r="BE4" i="7"/>
  <c r="BA5" i="7"/>
  <c r="AY5" i="7"/>
  <c r="CE5" i="7" s="1"/>
  <c r="AX72" i="7"/>
  <c r="Q36" i="8"/>
  <c r="R37" i="8"/>
  <c r="R35" i="8"/>
  <c r="R22" i="8"/>
  <c r="R36" i="8"/>
  <c r="R33" i="8"/>
  <c r="R31" i="8"/>
  <c r="R23" i="8"/>
  <c r="R24" i="8" s="1"/>
  <c r="R27" i="8" s="1"/>
  <c r="R28" i="8" s="1"/>
  <c r="Q37" i="8"/>
  <c r="Q33" i="8"/>
  <c r="Q25" i="8"/>
  <c r="Q35" i="8"/>
  <c r="F29" i="8"/>
  <c r="F32" i="8"/>
  <c r="Q29" i="8" l="1"/>
  <c r="R25" i="8"/>
  <c r="R29" i="8" s="1"/>
  <c r="BJ4" i="7"/>
  <c r="BH4" i="7"/>
  <c r="R32" i="8"/>
  <c r="J33" i="8"/>
  <c r="N33" i="8"/>
  <c r="G33" i="8"/>
  <c r="K33" i="8"/>
  <c r="O33" i="8"/>
  <c r="H33" i="8"/>
  <c r="L33" i="8"/>
  <c r="P33" i="8"/>
  <c r="I33" i="8"/>
  <c r="M33" i="8"/>
  <c r="BD5" i="7"/>
  <c r="BB5" i="7"/>
  <c r="BB72" i="7" s="1"/>
  <c r="BA72" i="7"/>
  <c r="Q32" i="8"/>
  <c r="M29" i="8" l="1"/>
  <c r="M32" i="8"/>
  <c r="H29" i="8"/>
  <c r="H32" i="8"/>
  <c r="N29" i="8"/>
  <c r="N32" i="8"/>
  <c r="BM4" i="7"/>
  <c r="BK4" i="7"/>
  <c r="I29" i="8"/>
  <c r="I32" i="8"/>
  <c r="O29" i="8"/>
  <c r="O32" i="8"/>
  <c r="J29" i="8"/>
  <c r="J32" i="8"/>
  <c r="P29" i="8"/>
  <c r="P32" i="8"/>
  <c r="K29" i="8"/>
  <c r="K32" i="8"/>
  <c r="BG5" i="7"/>
  <c r="BE5" i="7"/>
  <c r="BE72" i="7" s="1"/>
  <c r="BD72" i="7"/>
  <c r="L29" i="8"/>
  <c r="L32" i="8"/>
  <c r="G29" i="8"/>
  <c r="G32" i="8"/>
  <c r="BJ5" i="7" l="1"/>
  <c r="BH5" i="7"/>
  <c r="BH72" i="7" s="1"/>
  <c r="BG72" i="7"/>
  <c r="BP4" i="7"/>
  <c r="BN4" i="7"/>
  <c r="BS4" i="7" l="1"/>
  <c r="BQ4" i="7"/>
  <c r="BM5" i="7"/>
  <c r="BK5" i="7"/>
  <c r="BK72" i="7" s="1"/>
  <c r="BJ72" i="7"/>
  <c r="BV4" i="7" l="1"/>
  <c r="BT4" i="7"/>
  <c r="BP5" i="7"/>
  <c r="BN5" i="7"/>
  <c r="BN72" i="7" s="1"/>
  <c r="BM72" i="7"/>
  <c r="BY4" i="7" l="1"/>
  <c r="BW4" i="7"/>
  <c r="BS5" i="7"/>
  <c r="BQ5" i="7"/>
  <c r="BQ72" i="7" s="1"/>
  <c r="BP72" i="7"/>
  <c r="CB4" i="7" l="1"/>
  <c r="BZ4" i="7"/>
  <c r="BV5" i="7"/>
  <c r="BT5" i="7"/>
  <c r="BT72" i="7" s="1"/>
  <c r="BS72" i="7"/>
  <c r="CC4" i="7" l="1"/>
  <c r="BY5" i="7"/>
  <c r="BW5" i="7"/>
  <c r="BW72" i="7" s="1"/>
  <c r="BV72" i="7"/>
  <c r="CB5" i="7" l="1"/>
  <c r="BZ5" i="7"/>
  <c r="BZ72" i="7" s="1"/>
  <c r="BY72" i="7"/>
  <c r="CC5" i="7" l="1"/>
  <c r="CC72" i="7" s="1"/>
  <c r="CB72" i="7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<sst xmlns="http://schemas.openxmlformats.org/spreadsheetml/2006/main" count="407" uniqueCount="165">
  <si>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</si>
  <si>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</si>
  <si>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</si>
  <si>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</si>
  <si>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</si>
  <si>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</si>
  <si>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</si>
  <si>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</si>
  <si>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</si>
  <si>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</si>
  <si>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</si>
  <si>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</si>
  <si>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</si>
  <si>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</si>
  <si>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</si>
  <si>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</si>
  <si>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</si>
  <si>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</si>
  <si>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</si>
  <si>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</si>
  <si>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</si>
  <si>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</si>
  <si>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</si>
  <si>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</si>
  <si>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</si>
  <si>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</si>
  <si>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</si>
  <si>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</si>
  <si>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</si>
  <si>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</si>
  <si>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</si>
  <si>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</si>
  <si>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</si>
  <si>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</si>
  <si>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</si>
  <si>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</si>
  <si>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</si>
  <si>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</si>
  <si>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</si>
  <si>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</si>
  <si>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</si>
  <si>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</si>
  <si>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</si>
  <si>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</si>
  <si>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</si>
  <si>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</si>
  <si>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</si>
  <si>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</si>
  <si>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</si>
  <si>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</si>
  <si>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</si>
  <si>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</si>
  <si>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</si>
  <si>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</si>
  <si>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</si>
  <si>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</si>
  <si>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</si>
  <si>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</si>
  <si>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</si>
  <si>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</si>
  <si>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</si>
  <si>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</si>
  <si>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</si>
  <si>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</si>
  <si>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</si>
  <si>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</si>
  <si>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</si>
  <si>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</si>
  <si>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</si>
  <si>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</si>
  <si>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</si>
  <si>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</si>
  <si>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</si>
  <si>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</si>
  <si>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</si>
  <si>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</si>
  <si>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</si>
  <si>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</si>
  <si>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</si>
  <si>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</si>
  <si>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</si>
  <si>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</si>
  <si>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</si>
  <si>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</si>
  <si>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</si>
  <si>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</si>
  <si>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</si>
  <si>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</si>
  <si>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</si>
  <si>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</si>
  <si>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</si>
  <si>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</si>
  <si>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</si>
  <si>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</si>
  <si>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</si>
  <si>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</si>
  <si>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</si>
  <si>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</si>
  <si>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</si>
  <si>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</si>
  <si>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</si>
  <si>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</si>
  <si>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</si>
  <si>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</si>
  <si>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</si>
  <si>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</si>
  <si>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</si>
  <si>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</si>
  <si>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</si>
  <si>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</si>
  <si>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</si>
  <si>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</si>
  <si>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Data Conversions</t>
  </si>
  <si>
    <t>Security</t>
  </si>
  <si>
    <t>Views</t>
  </si>
  <si>
    <t>Detail screens</t>
  </si>
  <si>
    <t>Notifications</t>
  </si>
  <si>
    <t>Reports</t>
  </si>
  <si>
    <t>Installation Package</t>
  </si>
  <si>
    <t>Documentation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</si>
  <si>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</si>
  <si>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</si>
  <si>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</si>
  <si>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</si>
  <si>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</si>
  <si>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</si>
  <si>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</si>
  <si>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</si>
  <si>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</si>
  <si>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Gris</t>
  </si>
  <si>
    <t>Christian</t>
  </si>
  <si>
    <t>Fernando</t>
  </si>
  <si>
    <t>Ramiro</t>
  </si>
  <si>
    <t>Alberto</t>
  </si>
  <si>
    <t>Cesar</t>
  </si>
  <si>
    <t>Prepare Test Case</t>
  </si>
  <si>
    <t>Execute Testing</t>
  </si>
  <si>
    <t>Development</t>
  </si>
  <si>
    <t>Sprint Retrospective</t>
  </si>
  <si>
    <t>Unit Testing</t>
  </si>
  <si>
    <t>Integration Testing</t>
  </si>
  <si>
    <t>Test Case Setup</t>
  </si>
  <si>
    <t>Project Management (Meetings, Calls, Searching, etc.)</t>
  </si>
  <si>
    <t>UAT ETL Deployment</t>
  </si>
  <si>
    <t>Aceptance test Work order Change request</t>
  </si>
  <si>
    <t>Traductor Work Order Confirmation (FTZ)</t>
  </si>
  <si>
    <t>Scripts de FTP (All)</t>
  </si>
  <si>
    <t>Test Acceptance by Analyst Arenso</t>
  </si>
  <si>
    <t>G2000 EDI Process Validation (Item, ASN, etc.)</t>
  </si>
  <si>
    <t>Implementation on Test Environment</t>
  </si>
  <si>
    <t>Scripts SDE Process, Task on EDI Server</t>
  </si>
  <si>
    <t>Changes to G2k.dll</t>
  </si>
  <si>
    <t>ASN</t>
  </si>
  <si>
    <t>GRC</t>
  </si>
  <si>
    <t>DO</t>
  </si>
  <si>
    <t>DIS</t>
  </si>
  <si>
    <t>ITEM MASTER</t>
  </si>
  <si>
    <t>MOV</t>
  </si>
  <si>
    <t>STK</t>
  </si>
  <si>
    <t>WO</t>
  </si>
  <si>
    <t>Append of COMPANY's Output Interfaces</t>
  </si>
  <si>
    <t>Griselda</t>
  </si>
  <si>
    <t>France EDI Interfaces</t>
  </si>
  <si>
    <t>=IF(SUMPRODUCT($J$69:Z$69,$J21:Z21)&lt;0.5, "Pending", IF(Z21&lt;0.5, "Complete", "In Progress"))</t>
  </si>
  <si>
    <t>=(INDEX(Burndown,ROW(G4)-ROW(G$3),MIN(TODAY()-SprintStart,29)*3+3))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</si>
</sst>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FFFF00"/>
        <bgColor indexed="64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36" fillId="31" borderId="0" xfId="0" applyFont="1" applyFill="1" applyBorder="1" applyAlignment="1">
      <alignment wrapText="1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35"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14</c:v>
                </c:pt>
                <c:pt idx="5">
                  <c:v>15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20</c:v>
                </c:pt>
                <c:pt idx="10">
                  <c:v>22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65F-4DE6-A30E-71D808868C2D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65F-4DE6-A30E-71D808868C2D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60</c:v>
                </c:pt>
                <c:pt idx="1">
                  <c:v>57</c:v>
                </c:pt>
                <c:pt idx="2">
                  <c:v>53</c:v>
                </c:pt>
                <c:pt idx="3">
                  <c:v>50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41</c:v>
                </c:pt>
                <c:pt idx="9">
                  <c:v>39</c:v>
                </c:pt>
                <c:pt idx="10">
                  <c:v>38</c:v>
                </c:pt>
                <c:pt idx="11">
                  <c:v>37</c:v>
                </c:pt>
                <c:pt idx="12">
                  <c:v>37</c:v>
                </c:pt>
                <c:pt idx="13">
                  <c:v>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65F-4DE6-A30E-71D808868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4571360"/>
        <c:axId val="-734580064"/>
      </c:areaChart>
      <c:catAx>
        <c:axId val="-734571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9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s-MX"/>
          </a:p>
        </c:txPr>
        <c:crossAx val="-73458006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-73458006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-73457136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435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89" l="0.70000000000000062" r="0.70000000000000062" t="0.75000000000000389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8"/>
          <c:y val="0.17669172932330818"/>
          <c:w val="0.87100657289633654"/>
          <c:h val="0.46992481203007758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14</c:v>
                </c:pt>
                <c:pt idx="2">
                  <c:v>48</c:v>
                </c:pt>
                <c:pt idx="3">
                  <c:v>58</c:v>
                </c:pt>
                <c:pt idx="4">
                  <c:v>71</c:v>
                </c:pt>
                <c:pt idx="5">
                  <c:v>78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118</c:v>
                </c:pt>
                <c:pt idx="10">
                  <c:v>122</c:v>
                </c:pt>
                <c:pt idx="11">
                  <c:v>152</c:v>
                </c:pt>
                <c:pt idx="12">
                  <c:v>152</c:v>
                </c:pt>
                <c:pt idx="13">
                  <c:v>152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99-4844-9655-89DF38C681E1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56</c:v>
                </c:pt>
                <c:pt idx="1">
                  <c:v>74</c:v>
                </c:pt>
                <c:pt idx="2">
                  <c:v>57</c:v>
                </c:pt>
                <c:pt idx="3">
                  <c:v>59</c:v>
                </c:pt>
                <c:pt idx="4">
                  <c:v>58</c:v>
                </c:pt>
                <c:pt idx="5">
                  <c:v>57</c:v>
                </c:pt>
                <c:pt idx="6">
                  <c:v>54</c:v>
                </c:pt>
                <c:pt idx="7">
                  <c:v>56</c:v>
                </c:pt>
                <c:pt idx="8">
                  <c:v>60</c:v>
                </c:pt>
                <c:pt idx="9">
                  <c:v>30</c:v>
                </c:pt>
                <c:pt idx="10">
                  <c:v>28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99-4844-9655-89DF38C681E1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97</c:v>
                </c:pt>
                <c:pt idx="1">
                  <c:v>63</c:v>
                </c:pt>
                <c:pt idx="2">
                  <c:v>46</c:v>
                </c:pt>
                <c:pt idx="3">
                  <c:v>34</c:v>
                </c:pt>
                <c:pt idx="4">
                  <c:v>22</c:v>
                </c:pt>
                <c:pt idx="5">
                  <c:v>16</c:v>
                </c:pt>
                <c:pt idx="6">
                  <c:v>14</c:v>
                </c:pt>
                <c:pt idx="7">
                  <c:v>12</c:v>
                </c:pt>
                <c:pt idx="8">
                  <c:v>8</c:v>
                </c:pt>
                <c:pt idx="9">
                  <c:v>4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099-4844-9655-89DF38C68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4573536"/>
        <c:axId val="-73457952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137</c:v>
                </c:pt>
                <c:pt idx="1">
                  <c:v>115</c:v>
                </c:pt>
                <c:pt idx="2">
                  <c:v>92</c:v>
                </c:pt>
                <c:pt idx="3">
                  <c:v>75</c:v>
                </c:pt>
                <c:pt idx="4">
                  <c:v>58</c:v>
                </c:pt>
                <c:pt idx="5">
                  <c:v>42</c:v>
                </c:pt>
                <c:pt idx="6">
                  <c:v>35</c:v>
                </c:pt>
                <c:pt idx="7">
                  <c:v>28</c:v>
                </c:pt>
                <c:pt idx="8">
                  <c:v>20</c:v>
                </c:pt>
                <c:pt idx="9">
                  <c:v>12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099-4844-9655-89DF38C681E1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16</c:v>
                </c:pt>
                <c:pt idx="1">
                  <c:v>36</c:v>
                </c:pt>
                <c:pt idx="2">
                  <c:v>59</c:v>
                </c:pt>
                <c:pt idx="3">
                  <c:v>76</c:v>
                </c:pt>
                <c:pt idx="4">
                  <c:v>93</c:v>
                </c:pt>
                <c:pt idx="5">
                  <c:v>109</c:v>
                </c:pt>
                <c:pt idx="6">
                  <c:v>117</c:v>
                </c:pt>
                <c:pt idx="7">
                  <c:v>124</c:v>
                </c:pt>
                <c:pt idx="8">
                  <c:v>132</c:v>
                </c:pt>
                <c:pt idx="9">
                  <c:v>140</c:v>
                </c:pt>
                <c:pt idx="10">
                  <c:v>147</c:v>
                </c:pt>
                <c:pt idx="11">
                  <c:v>152</c:v>
                </c:pt>
                <c:pt idx="12">
                  <c:v>152</c:v>
                </c:pt>
                <c:pt idx="13">
                  <c:v>152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D099-4844-9655-89DF38C68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34573536"/>
        <c:axId val="-734579520"/>
      </c:lineChart>
      <c:catAx>
        <c:axId val="-734573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s-MX"/>
          </a:p>
        </c:txPr>
        <c:crossAx val="-7345795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-7345795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1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MX"/>
          </a:p>
        </c:txPr>
        <c:crossAx val="-73457353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89" l="0.70000000000000062" r="0.70000000000000062" t="0.75000000000000389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18-4855-966C-1DE893F346F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118-4855-966C-1DE893F346F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118-4855-966C-1DE893F346F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118-4855-966C-1DE893F34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34571904"/>
        <c:axId val="-734578976"/>
      </c:barChart>
      <c:catAx>
        <c:axId val="-734571904"/>
        <c:scaling>
          <c:orientation val="minMax"/>
        </c:scaling>
        <c:delete val="0"/>
        <c:axPos val="b"/>
        <c:majorTickMark val="out"/>
        <c:minorTickMark val="none"/>
        <c:tickLblPos val="nextTo"/>
        <c:crossAx val="-734578976"/>
        <c:crosses val="autoZero"/>
        <c:auto val="1"/>
        <c:lblAlgn val="ctr"/>
        <c:lblOffset val="100"/>
        <c:noMultiLvlLbl val="0"/>
      </c:catAx>
      <c:valAx>
        <c:axId val="-7345789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734571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90-4453-9982-34CC3060AA9B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90-4453-9982-34CC3060AA9B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Test Case Setup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490-4453-9982-34CC3060AA9B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490-4453-9982-34CC3060AA9B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490-4453-9982-34CC3060AA9B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Development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490-4453-9982-34CC3060AA9B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490-4453-9982-34CC3060AA9B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3490-4453-9982-34CC3060AA9B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490-4453-9982-34CC3060AA9B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3490-4453-9982-34CC3060AA9B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3490-4453-9982-34CC3060AA9B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3490-4453-9982-34CC3060AA9B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UAT ETL 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490-4453-9982-34CC3060AA9B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Unit Testing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490-4453-9982-34CC3060AA9B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Integration 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3490-4453-9982-34CC3060AA9B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3490-4453-9982-34CC3060A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34554416"/>
        <c:axId val="-505672080"/>
      </c:barChart>
      <c:catAx>
        <c:axId val="-734554416"/>
        <c:scaling>
          <c:orientation val="minMax"/>
        </c:scaling>
        <c:delete val="0"/>
        <c:axPos val="b"/>
        <c:majorTickMark val="out"/>
        <c:minorTickMark val="none"/>
        <c:tickLblPos val="nextTo"/>
        <c:crossAx val="-505672080"/>
        <c:crosses val="autoZero"/>
        <c:auto val="1"/>
        <c:lblAlgn val="ctr"/>
        <c:lblOffset val="100"/>
        <c:noMultiLvlLbl val="0"/>
      </c:catAx>
      <c:valAx>
        <c:axId val="-5056720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734554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294-4988-A51B-C926873EF354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294-4988-A51B-C926873EF354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294-4988-A51B-C926873EF354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294-4988-A51B-C926873EF354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294-4988-A51B-C926873EF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05677520"/>
        <c:axId val="-505674256"/>
      </c:barChart>
      <c:catAx>
        <c:axId val="-505677520"/>
        <c:scaling>
          <c:orientation val="minMax"/>
        </c:scaling>
        <c:delete val="0"/>
        <c:axPos val="b"/>
        <c:majorTickMark val="out"/>
        <c:minorTickMark val="none"/>
        <c:tickLblPos val="nextTo"/>
        <c:crossAx val="-505674256"/>
        <c:crosses val="autoZero"/>
        <c:auto val="1"/>
        <c:lblAlgn val="ctr"/>
        <c:lblOffset val="100"/>
        <c:noMultiLvlLbl val="0"/>
      </c:catAx>
      <c:valAx>
        <c:axId val="-5056742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505677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C5" sqref="C5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8" t="s">
        <v>57</v>
      </c>
      <c r="C4" s="43" t="s">
        <v>162</v>
      </c>
    </row>
    <row r="5" spans="2:8" ht="13.5" thickBot="1" x14ac:dyDescent="0.25"/>
    <row r="6" spans="2:8" ht="14.25" thickTop="1" thickBot="1" x14ac:dyDescent="0.25">
      <c r="B6" s="128" t="s">
        <v>41</v>
      </c>
      <c r="C6" s="129" t="s">
        <v>98</v>
      </c>
      <c r="D6" s="130" t="s">
        <v>91</v>
      </c>
      <c r="E6" s="131" t="s">
        <v>97</v>
      </c>
      <c r="F6" s="132" t="s">
        <v>96</v>
      </c>
      <c r="G6" s="132" t="s">
        <v>100</v>
      </c>
      <c r="H6" s="133" t="s">
        <v>99</v>
      </c>
    </row>
    <row r="7" spans="2:8" ht="13.5" thickTop="1" x14ac:dyDescent="0.2">
      <c r="C7" s="134"/>
      <c r="D7" s="135" t="s">
        <v>49</v>
      </c>
      <c r="E7" s="136"/>
      <c r="F7" s="137"/>
      <c r="G7" s="137"/>
      <c r="H7" s="138"/>
    </row>
    <row r="8" spans="2:8" x14ac:dyDescent="0.2">
      <c r="C8" s="139" t="s">
        <v>161</v>
      </c>
      <c r="D8" s="140" t="s">
        <v>129</v>
      </c>
      <c r="E8" s="140" t="s">
        <v>94</v>
      </c>
      <c r="F8" s="141" t="s">
        <v>95</v>
      </c>
      <c r="G8" s="140" t="s">
        <v>101</v>
      </c>
      <c r="H8" s="140" t="s">
        <v>92</v>
      </c>
    </row>
    <row r="9" spans="2:8" x14ac:dyDescent="0.2">
      <c r="C9" s="139" t="s">
        <v>130</v>
      </c>
      <c r="D9" s="140" t="s">
        <v>130</v>
      </c>
      <c r="E9" s="140" t="s">
        <v>94</v>
      </c>
      <c r="F9" s="141" t="s">
        <v>95</v>
      </c>
      <c r="G9" s="140" t="s">
        <v>101</v>
      </c>
      <c r="H9" s="140" t="s">
        <v>92</v>
      </c>
    </row>
    <row r="10" spans="2:8" ht="11.25" customHeight="1" x14ac:dyDescent="0.2">
      <c r="C10" s="139" t="s">
        <v>131</v>
      </c>
      <c r="D10" s="140" t="s">
        <v>131</v>
      </c>
      <c r="E10" s="140" t="s">
        <v>94</v>
      </c>
      <c r="F10" s="141" t="s">
        <v>95</v>
      </c>
      <c r="G10" s="140" t="s">
        <v>101</v>
      </c>
      <c r="H10" s="140" t="s">
        <v>92</v>
      </c>
    </row>
    <row r="11" spans="2:8" x14ac:dyDescent="0.2">
      <c r="C11" s="139" t="s">
        <v>132</v>
      </c>
      <c r="D11" s="140" t="s">
        <v>132</v>
      </c>
      <c r="E11" s="140" t="s">
        <v>94</v>
      </c>
      <c r="F11" s="141" t="s">
        <v>95</v>
      </c>
      <c r="G11" s="140" t="s">
        <v>101</v>
      </c>
      <c r="H11" s="140" t="s">
        <v>92</v>
      </c>
    </row>
    <row r="12" spans="2:8" x14ac:dyDescent="0.2">
      <c r="C12" s="139" t="s">
        <v>133</v>
      </c>
      <c r="D12" s="140" t="s">
        <v>133</v>
      </c>
      <c r="E12" s="140" t="s">
        <v>94</v>
      </c>
      <c r="F12" s="141" t="s">
        <v>95</v>
      </c>
      <c r="G12" s="140" t="s">
        <v>101</v>
      </c>
      <c r="H12" s="140" t="s">
        <v>92</v>
      </c>
    </row>
    <row r="13" spans="2:8" x14ac:dyDescent="0.2">
      <c r="C13" s="139" t="s">
        <v>134</v>
      </c>
      <c r="D13" s="140" t="s">
        <v>134</v>
      </c>
      <c r="E13" s="140" t="s">
        <v>94</v>
      </c>
      <c r="F13" s="141" t="s">
        <v>95</v>
      </c>
      <c r="G13" s="140" t="s">
        <v>101</v>
      </c>
      <c r="H13" s="140" t="s">
        <v>92</v>
      </c>
    </row>
    <row r="14" spans="2:8" x14ac:dyDescent="0.2">
      <c r="C14" s="139" t="s">
        <v>128</v>
      </c>
      <c r="D14" s="140" t="s">
        <v>128</v>
      </c>
      <c r="E14" s="140" t="s">
        <v>94</v>
      </c>
      <c r="F14" s="141" t="s">
        <v>95</v>
      </c>
      <c r="G14" s="140" t="s">
        <v>101</v>
      </c>
      <c r="H14" s="140" t="s">
        <v>92</v>
      </c>
    </row>
    <row r="15" spans="2:8" x14ac:dyDescent="0.2">
      <c r="C15" s="139" t="s">
        <v>128</v>
      </c>
      <c r="D15" s="140" t="s">
        <v>128</v>
      </c>
      <c r="E15" s="140" t="s">
        <v>94</v>
      </c>
      <c r="F15" s="141" t="s">
        <v>95</v>
      </c>
      <c r="G15" s="140" t="s">
        <v>101</v>
      </c>
      <c r="H15" s="140" t="s">
        <v>92</v>
      </c>
    </row>
    <row r="16" spans="2:8" x14ac:dyDescent="0.2">
      <c r="C16" s="139"/>
      <c r="D16" s="140"/>
      <c r="E16" s="140"/>
      <c r="F16" s="141"/>
      <c r="G16" s="140"/>
      <c r="H16" s="140"/>
    </row>
    <row r="17" spans="3:8" x14ac:dyDescent="0.2">
      <c r="C17" s="139"/>
      <c r="D17" s="140"/>
      <c r="E17" s="140"/>
      <c r="F17" s="141"/>
      <c r="G17" s="140"/>
      <c r="H17" s="140"/>
    </row>
    <row r="18" spans="3:8" x14ac:dyDescent="0.2">
      <c r="C18" s="139"/>
      <c r="D18" s="140"/>
      <c r="E18" s="140"/>
      <c r="F18" s="141"/>
      <c r="G18" s="140"/>
      <c r="H18" s="140"/>
    </row>
    <row r="19" spans="3:8" x14ac:dyDescent="0.2">
      <c r="C19" s="139"/>
      <c r="D19" s="140"/>
      <c r="E19" s="140"/>
      <c r="F19" s="141"/>
      <c r="G19" s="140"/>
      <c r="H19" s="140"/>
    </row>
    <row r="20" spans="3:8" x14ac:dyDescent="0.2">
      <c r="C20" s="139"/>
      <c r="D20" s="140"/>
      <c r="E20" s="140"/>
      <c r="F20" s="141"/>
      <c r="G20" s="140"/>
      <c r="H20" s="140"/>
    </row>
    <row r="21" spans="3:8" x14ac:dyDescent="0.2">
      <c r="C21" s="139"/>
      <c r="D21" s="140"/>
      <c r="E21" s="140"/>
      <c r="F21" s="141"/>
      <c r="G21" s="140"/>
      <c r="H21" s="140"/>
    </row>
    <row r="22" spans="3:8" x14ac:dyDescent="0.2">
      <c r="C22" s="139"/>
      <c r="D22" s="140"/>
      <c r="E22" s="140"/>
      <c r="F22" s="141"/>
      <c r="G22" s="140"/>
      <c r="H22" s="140"/>
    </row>
    <row r="23" spans="3:8" x14ac:dyDescent="0.2">
      <c r="C23" s="139"/>
      <c r="D23" s="140"/>
      <c r="E23" s="140"/>
      <c r="F23" s="141"/>
      <c r="G23" s="140"/>
      <c r="H23" s="140"/>
    </row>
    <row r="24" spans="3:8" x14ac:dyDescent="0.2">
      <c r="C24" s="139"/>
      <c r="D24" s="140"/>
      <c r="E24" s="140"/>
      <c r="F24" s="141"/>
      <c r="G24" s="140"/>
      <c r="H24" s="140"/>
    </row>
    <row r="25" spans="3:8" ht="13.5" thickBot="1" x14ac:dyDescent="0.25">
      <c r="C25" s="142"/>
      <c r="D25" s="143"/>
      <c r="E25" s="143"/>
      <c r="F25" s="144"/>
      <c r="G25" s="145"/>
      <c r="H25" s="146"/>
    </row>
    <row r="26" spans="3:8" ht="13.5" thickTop="1" x14ac:dyDescent="0.2"/>
    <row r="41" spans="7:9" x14ac:dyDescent="0.2">
      <c r="G41" s="128"/>
      <c r="I41" s="147"/>
    </row>
    <row r="43" spans="7:9" x14ac:dyDescent="0.2">
      <c r="G43" s="128"/>
      <c r="H43" s="147"/>
      <c r="I43" s="147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20" sqref="E20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1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7.140625" style="43" bestFit="1" customWidth="1"/>
    <col min="10" max="10" width="3.28515625" style="43" customWidth="1"/>
    <col min="11" max="12" width="3.7109375" style="43" customWidth="1"/>
    <col min="13" max="13" width="8.140625" style="43" bestFit="1" customWidth="1"/>
    <col min="14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Thu</v>
      </c>
      <c r="E2" s="48">
        <f ca="1">TODAY()</f>
        <v>42488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42310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0" t="s">
        <v>47</v>
      </c>
      <c r="C5" s="191"/>
      <c r="D5" s="191"/>
      <c r="E5" s="191"/>
      <c r="F5" s="191"/>
      <c r="G5" s="192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186" t="s">
        <v>56</v>
      </c>
      <c r="F6" s="63">
        <v>12</v>
      </c>
      <c r="G6" s="64"/>
      <c r="I6" s="65" t="str">
        <f>IF(D3="lun",E3-0,IF(D3="mar",E3-1,IF(D3="mié",E3-2,IF(D3="jue",E3-3,IF(D3="vie",E3-4,IF(D3="sab",E3-5,IF(D3="dom",E3-6,"False")))))))</f>
        <v>False</v>
      </c>
      <c r="J6" s="66" t="e">
        <f t="shared" ref="J6:O6" si="0">I6+1</f>
        <v>#VALUE!</v>
      </c>
      <c r="K6" s="66" t="e">
        <f t="shared" si="0"/>
        <v>#VALUE!</v>
      </c>
      <c r="L6" s="66" t="e">
        <f t="shared" si="0"/>
        <v>#VALUE!</v>
      </c>
      <c r="M6" s="66" t="e">
        <f t="shared" si="0"/>
        <v>#VALUE!</v>
      </c>
      <c r="N6" s="67" t="e">
        <f t="shared" si="0"/>
        <v>#VALUE!</v>
      </c>
      <c r="O6" s="67" t="e">
        <f t="shared" si="0"/>
        <v>#VALUE!</v>
      </c>
      <c r="P6" s="68" t="e">
        <f>I6+7</f>
        <v>#VALUE!</v>
      </c>
      <c r="Q6" s="66" t="e">
        <f t="shared" ref="Q6:V6" si="1">P6+1</f>
        <v>#VALUE!</v>
      </c>
      <c r="R6" s="66" t="e">
        <f t="shared" si="1"/>
        <v>#VALUE!</v>
      </c>
      <c r="S6" s="66" t="e">
        <f t="shared" si="1"/>
        <v>#VALUE!</v>
      </c>
      <c r="T6" s="66" t="e">
        <f t="shared" si="1"/>
        <v>#VALUE!</v>
      </c>
      <c r="U6" s="67" t="e">
        <f t="shared" si="1"/>
        <v>#VALUE!</v>
      </c>
      <c r="V6" s="67" t="e">
        <f t="shared" si="1"/>
        <v>#VALUE!</v>
      </c>
      <c r="W6" s="193"/>
      <c r="X6" s="194"/>
      <c r="Y6" s="194"/>
      <c r="Z6" s="194"/>
      <c r="AA6" s="194"/>
      <c r="AB6" s="195"/>
    </row>
    <row r="7" spans="2:28" ht="29.25" customHeight="1" thickBot="1" x14ac:dyDescent="0.25">
      <c r="B7" s="69"/>
      <c r="C7" s="70"/>
      <c r="D7" s="62"/>
      <c r="E7" s="71" t="s">
        <v>45</v>
      </c>
      <c r="F7" s="71" t="s">
        <v>53</v>
      </c>
      <c r="G7" s="72" t="s">
        <v>46</v>
      </c>
      <c r="I7" s="73" t="s">
        <v>32</v>
      </c>
      <c r="J7" s="74" t="s">
        <v>34</v>
      </c>
      <c r="K7" s="74" t="s">
        <v>35</v>
      </c>
      <c r="L7" s="74" t="s">
        <v>34</v>
      </c>
      <c r="M7" s="74" t="s">
        <v>36</v>
      </c>
      <c r="N7" s="75" t="s">
        <v>33</v>
      </c>
      <c r="O7" s="76" t="s">
        <v>33</v>
      </c>
      <c r="P7" s="73" t="s">
        <v>32</v>
      </c>
      <c r="Q7" s="74" t="s">
        <v>34</v>
      </c>
      <c r="R7" s="74" t="s">
        <v>35</v>
      </c>
      <c r="S7" s="74" t="s">
        <v>34</v>
      </c>
      <c r="T7" s="74" t="s">
        <v>36</v>
      </c>
      <c r="U7" s="75" t="s">
        <v>33</v>
      </c>
      <c r="V7" s="76" t="s">
        <v>33</v>
      </c>
      <c r="W7" s="196" t="s">
        <v>42</v>
      </c>
      <c r="X7" s="197"/>
      <c r="Y7" s="197"/>
      <c r="Z7" s="197"/>
      <c r="AA7" s="197"/>
      <c r="AB7" s="198"/>
    </row>
    <row r="8" spans="2:28" ht="13.5" thickBot="1" x14ac:dyDescent="0.25">
      <c r="B8" s="77" t="s">
        <v>37</v>
      </c>
      <c r="C8" s="78">
        <f>SUM(G8:G25)</f>
        <v>249</v>
      </c>
      <c r="D8" s="79"/>
      <c r="E8" s="80" t="s">
        <v>129</v>
      </c>
      <c r="F8" s="81">
        <v>1</v>
      </c>
      <c r="G8" s="82">
        <v>80</v>
      </c>
      <c r="H8" s="83"/>
      <c r="I8" s="89">
        <f t="shared" ref="I8:J18" ca="1" si="2">IF(I$6&lt;$E$3,0,IF(ISBLANK($E8),0,IF(I$6&lt;$E$2,0,1)))</f>
        <v>1</v>
      </c>
      <c r="J8" s="90" t="e">
        <f t="shared" si="2"/>
        <v>#VALUE!</v>
      </c>
      <c r="K8" s="90" t="e">
        <f t="shared" ref="K8:M23" si="3">IF(K$6&lt;$E$3,0,IF(ISBLANK($E8),0,IF(K$6&lt;$E$2,0,1)))</f>
        <v>#VALUE!</v>
      </c>
      <c r="L8" s="90" t="e">
        <f t="shared" si="3"/>
        <v>#VALUE!</v>
      </c>
      <c r="M8" s="90" t="e">
        <f t="shared" si="3"/>
        <v>#VALUE!</v>
      </c>
      <c r="N8" s="84"/>
      <c r="O8" s="85"/>
      <c r="P8" s="89" t="e">
        <f t="shared" ref="P8:T18" si="4">IF(P$6&lt;$E$3,0,IF(ISBLANK($E8),0,IF(P$6&lt;$E$2,0,1)))</f>
        <v>#VALUE!</v>
      </c>
      <c r="Q8" s="90" t="e">
        <f t="shared" si="4"/>
        <v>#VALUE!</v>
      </c>
      <c r="R8" s="90" t="e">
        <f t="shared" si="4"/>
        <v>#VALUE!</v>
      </c>
      <c r="S8" s="90" t="e">
        <f t="shared" si="4"/>
        <v>#VALUE!</v>
      </c>
      <c r="T8" s="90" t="e">
        <f t="shared" si="4"/>
        <v>#VALUE!</v>
      </c>
      <c r="U8" s="84"/>
      <c r="V8" s="85"/>
      <c r="W8" s="187">
        <f t="shared" ref="W8:W25" ca="1" si="5">IF(E8="unassigned",0,(COUNTIF(I8:V8,1)*$C$6)*F8)</f>
        <v>8</v>
      </c>
      <c r="X8" s="188"/>
      <c r="Y8" s="188"/>
      <c r="Z8" s="188"/>
      <c r="AA8" s="188"/>
      <c r="AB8" s="189"/>
    </row>
    <row r="9" spans="2:28" ht="13.5" thickBot="1" x14ac:dyDescent="0.25">
      <c r="B9" s="86" t="s">
        <v>38</v>
      </c>
      <c r="C9" s="78">
        <f ca="1">SUM(W8:AB25)</f>
        <v>32.799999999999997</v>
      </c>
      <c r="D9" s="87"/>
      <c r="E9" s="18" t="s">
        <v>130</v>
      </c>
      <c r="F9" s="88">
        <v>1</v>
      </c>
      <c r="G9" s="82">
        <v>80</v>
      </c>
      <c r="H9" s="83"/>
      <c r="I9" s="89">
        <f t="shared" ca="1" si="2"/>
        <v>1</v>
      </c>
      <c r="J9" s="90" t="e">
        <f t="shared" si="2"/>
        <v>#VALUE!</v>
      </c>
      <c r="K9" s="90" t="e">
        <f t="shared" si="3"/>
        <v>#VALUE!</v>
      </c>
      <c r="L9" s="90" t="e">
        <f t="shared" si="3"/>
        <v>#VALUE!</v>
      </c>
      <c r="M9" s="90" t="e">
        <f t="shared" si="3"/>
        <v>#VALUE!</v>
      </c>
      <c r="N9" s="91"/>
      <c r="O9" s="92"/>
      <c r="P9" s="89" t="e">
        <f t="shared" si="4"/>
        <v>#VALUE!</v>
      </c>
      <c r="Q9" s="90" t="e">
        <f t="shared" si="4"/>
        <v>#VALUE!</v>
      </c>
      <c r="R9" s="90" t="e">
        <f t="shared" si="4"/>
        <v>#VALUE!</v>
      </c>
      <c r="S9" s="90" t="e">
        <f t="shared" si="4"/>
        <v>#VALUE!</v>
      </c>
      <c r="T9" s="90" t="e">
        <f t="shared" si="4"/>
        <v>#VALUE!</v>
      </c>
      <c r="U9" s="91"/>
      <c r="V9" s="92"/>
      <c r="W9" s="187">
        <f t="shared" ca="1" si="5"/>
        <v>8</v>
      </c>
      <c r="X9" s="188"/>
      <c r="Y9" s="188"/>
      <c r="Z9" s="188"/>
      <c r="AA9" s="188"/>
      <c r="AB9" s="189"/>
    </row>
    <row r="10" spans="2:28" ht="13.5" thickBot="1" x14ac:dyDescent="0.25">
      <c r="B10" s="93" t="s">
        <v>39</v>
      </c>
      <c r="C10" s="94">
        <f ca="1">C8-C9</f>
        <v>216.2</v>
      </c>
      <c r="D10" s="62"/>
      <c r="E10" s="18" t="s">
        <v>131</v>
      </c>
      <c r="F10" s="88">
        <v>1</v>
      </c>
      <c r="G10" s="82">
        <v>80</v>
      </c>
      <c r="H10" s="83"/>
      <c r="I10" s="89">
        <f t="shared" ca="1" si="2"/>
        <v>1</v>
      </c>
      <c r="J10" s="90" t="e">
        <f t="shared" si="2"/>
        <v>#VALUE!</v>
      </c>
      <c r="K10" s="90" t="e">
        <f t="shared" si="3"/>
        <v>#VALUE!</v>
      </c>
      <c r="L10" s="90" t="e">
        <f t="shared" si="3"/>
        <v>#VALUE!</v>
      </c>
      <c r="M10" s="90" t="e">
        <f t="shared" si="3"/>
        <v>#VALUE!</v>
      </c>
      <c r="N10" s="91"/>
      <c r="O10" s="92"/>
      <c r="P10" s="89" t="e">
        <f t="shared" si="4"/>
        <v>#VALUE!</v>
      </c>
      <c r="Q10" s="90" t="e">
        <f t="shared" si="4"/>
        <v>#VALUE!</v>
      </c>
      <c r="R10" s="90" t="e">
        <f t="shared" si="4"/>
        <v>#VALUE!</v>
      </c>
      <c r="S10" s="90" t="e">
        <f t="shared" si="4"/>
        <v>#VALUE!</v>
      </c>
      <c r="T10" s="90" t="e">
        <f t="shared" si="4"/>
        <v>#VALUE!</v>
      </c>
      <c r="U10" s="91"/>
      <c r="V10" s="92"/>
      <c r="W10" s="187">
        <f t="shared" ca="1" si="5"/>
        <v>8</v>
      </c>
      <c r="X10" s="188"/>
      <c r="Y10" s="188"/>
      <c r="Z10" s="188"/>
      <c r="AA10" s="188"/>
      <c r="AB10" s="189"/>
    </row>
    <row r="11" spans="2:28" ht="13.5" thickBot="1" x14ac:dyDescent="0.25">
      <c r="B11" s="95"/>
      <c r="D11" s="96"/>
      <c r="E11" s="18" t="s">
        <v>132</v>
      </c>
      <c r="F11" s="88">
        <v>0.5</v>
      </c>
      <c r="G11" s="82">
        <v>4</v>
      </c>
      <c r="H11" s="83"/>
      <c r="I11" s="89">
        <f t="shared" ca="1" si="2"/>
        <v>1</v>
      </c>
      <c r="J11" s="90" t="e">
        <f t="shared" si="2"/>
        <v>#VALUE!</v>
      </c>
      <c r="K11" s="90" t="e">
        <f t="shared" si="3"/>
        <v>#VALUE!</v>
      </c>
      <c r="L11" s="90" t="e">
        <f t="shared" si="3"/>
        <v>#VALUE!</v>
      </c>
      <c r="M11" s="90" t="e">
        <f t="shared" si="3"/>
        <v>#VALUE!</v>
      </c>
      <c r="N11" s="91"/>
      <c r="O11" s="92"/>
      <c r="P11" s="89" t="e">
        <f t="shared" si="4"/>
        <v>#VALUE!</v>
      </c>
      <c r="Q11" s="90" t="e">
        <f t="shared" si="4"/>
        <v>#VALUE!</v>
      </c>
      <c r="R11" s="90" t="e">
        <f t="shared" si="4"/>
        <v>#VALUE!</v>
      </c>
      <c r="S11" s="90" t="e">
        <f t="shared" si="4"/>
        <v>#VALUE!</v>
      </c>
      <c r="T11" s="90" t="e">
        <f t="shared" si="4"/>
        <v>#VALUE!</v>
      </c>
      <c r="U11" s="91"/>
      <c r="V11" s="92"/>
      <c r="W11" s="187">
        <f t="shared" ca="1" si="5"/>
        <v>4</v>
      </c>
      <c r="X11" s="188"/>
      <c r="Y11" s="188"/>
      <c r="Z11" s="188"/>
      <c r="AA11" s="188"/>
      <c r="AB11" s="189"/>
    </row>
    <row r="12" spans="2:28" ht="13.5" thickBot="1" x14ac:dyDescent="0.25">
      <c r="B12" s="95"/>
      <c r="D12" s="96"/>
      <c r="E12" s="18" t="s">
        <v>133</v>
      </c>
      <c r="F12" s="88">
        <v>0.1</v>
      </c>
      <c r="G12" s="82">
        <v>1</v>
      </c>
      <c r="H12" s="83"/>
      <c r="I12" s="89">
        <f t="shared" ca="1" si="2"/>
        <v>1</v>
      </c>
      <c r="J12" s="90" t="e">
        <f t="shared" si="2"/>
        <v>#VALUE!</v>
      </c>
      <c r="K12" s="90" t="e">
        <f t="shared" si="3"/>
        <v>#VALUE!</v>
      </c>
      <c r="L12" s="90" t="e">
        <f t="shared" si="3"/>
        <v>#VALUE!</v>
      </c>
      <c r="M12" s="90" t="e">
        <f t="shared" si="3"/>
        <v>#VALUE!</v>
      </c>
      <c r="N12" s="91"/>
      <c r="O12" s="92"/>
      <c r="P12" s="89" t="e">
        <f t="shared" si="4"/>
        <v>#VALUE!</v>
      </c>
      <c r="Q12" s="90" t="e">
        <f t="shared" si="4"/>
        <v>#VALUE!</v>
      </c>
      <c r="R12" s="90" t="e">
        <f t="shared" si="4"/>
        <v>#VALUE!</v>
      </c>
      <c r="S12" s="90" t="e">
        <f t="shared" si="4"/>
        <v>#VALUE!</v>
      </c>
      <c r="T12" s="90" t="e">
        <f t="shared" si="4"/>
        <v>#VALUE!</v>
      </c>
      <c r="U12" s="91"/>
      <c r="V12" s="92"/>
      <c r="W12" s="187">
        <f t="shared" ca="1" si="5"/>
        <v>0.8</v>
      </c>
      <c r="X12" s="188"/>
      <c r="Y12" s="188"/>
      <c r="Z12" s="188"/>
      <c r="AA12" s="188"/>
      <c r="AB12" s="189"/>
    </row>
    <row r="13" spans="2:28" ht="13.5" thickBot="1" x14ac:dyDescent="0.25">
      <c r="B13" s="95"/>
      <c r="D13" s="97"/>
      <c r="E13" s="18" t="s">
        <v>134</v>
      </c>
      <c r="F13" s="88">
        <v>0.5</v>
      </c>
      <c r="G13" s="82">
        <v>4</v>
      </c>
      <c r="H13" s="83"/>
      <c r="I13" s="89">
        <f t="shared" ca="1" si="2"/>
        <v>1</v>
      </c>
      <c r="J13" s="90" t="e">
        <f t="shared" si="2"/>
        <v>#VALUE!</v>
      </c>
      <c r="K13" s="90" t="e">
        <f t="shared" si="3"/>
        <v>#VALUE!</v>
      </c>
      <c r="L13" s="90" t="e">
        <f t="shared" si="3"/>
        <v>#VALUE!</v>
      </c>
      <c r="M13" s="90" t="e">
        <f t="shared" si="3"/>
        <v>#VALUE!</v>
      </c>
      <c r="N13" s="91"/>
      <c r="O13" s="92"/>
      <c r="P13" s="89" t="e">
        <f t="shared" si="4"/>
        <v>#VALUE!</v>
      </c>
      <c r="Q13" s="90" t="e">
        <f t="shared" si="4"/>
        <v>#VALUE!</v>
      </c>
      <c r="R13" s="90" t="e">
        <f t="shared" si="4"/>
        <v>#VALUE!</v>
      </c>
      <c r="S13" s="90" t="e">
        <f t="shared" si="4"/>
        <v>#VALUE!</v>
      </c>
      <c r="T13" s="90" t="e">
        <f t="shared" si="4"/>
        <v>#VALUE!</v>
      </c>
      <c r="U13" s="91"/>
      <c r="V13" s="92"/>
      <c r="W13" s="187">
        <f t="shared" ca="1" si="5"/>
        <v>4</v>
      </c>
      <c r="X13" s="188"/>
      <c r="Y13" s="188"/>
      <c r="Z13" s="188"/>
      <c r="AA13" s="188"/>
      <c r="AB13" s="189"/>
    </row>
    <row r="14" spans="2:28" ht="13.5" thickBot="1" x14ac:dyDescent="0.25">
      <c r="B14" s="95"/>
      <c r="D14" s="62"/>
      <c r="E14" s="18"/>
      <c r="F14" s="88"/>
      <c r="G14" s="82">
        <f>SUMIF(Sprint!$F$4:$F$1859,E14,Sprint!$AX$4:$AX$1859)</f>
        <v>0</v>
      </c>
      <c r="H14" s="83"/>
      <c r="I14" s="89">
        <f t="shared" si="2"/>
        <v>0</v>
      </c>
      <c r="J14" s="90" t="e">
        <f t="shared" si="2"/>
        <v>#VALUE!</v>
      </c>
      <c r="K14" s="90" t="e">
        <f t="shared" si="3"/>
        <v>#VALUE!</v>
      </c>
      <c r="L14" s="90" t="e">
        <f t="shared" si="3"/>
        <v>#VALUE!</v>
      </c>
      <c r="M14" s="90" t="e">
        <f t="shared" si="3"/>
        <v>#VALUE!</v>
      </c>
      <c r="N14" s="91"/>
      <c r="O14" s="92"/>
      <c r="P14" s="89" t="e">
        <f t="shared" si="4"/>
        <v>#VALUE!</v>
      </c>
      <c r="Q14" s="90" t="e">
        <f t="shared" si="4"/>
        <v>#VALUE!</v>
      </c>
      <c r="R14" s="90" t="e">
        <f t="shared" si="4"/>
        <v>#VALUE!</v>
      </c>
      <c r="S14" s="90" t="e">
        <f t="shared" si="4"/>
        <v>#VALUE!</v>
      </c>
      <c r="T14" s="90" t="e">
        <f t="shared" si="4"/>
        <v>#VALUE!</v>
      </c>
      <c r="U14" s="91"/>
      <c r="V14" s="92"/>
      <c r="W14" s="187">
        <f t="shared" si="5"/>
        <v>0</v>
      </c>
      <c r="X14" s="188"/>
      <c r="Y14" s="188"/>
      <c r="Z14" s="188"/>
      <c r="AA14" s="188"/>
      <c r="AB14" s="189"/>
    </row>
    <row r="15" spans="2:28" ht="13.5" thickBot="1" x14ac:dyDescent="0.25">
      <c r="B15" s="95"/>
      <c r="D15" s="62"/>
      <c r="E15" s="18"/>
      <c r="F15" s="88"/>
      <c r="G15" s="82">
        <f>SUMIF(Sprint!$F$4:$F$1859,E15,Sprint!$AX$4:$AX$1859)</f>
        <v>0</v>
      </c>
      <c r="H15" s="83"/>
      <c r="I15" s="89">
        <f t="shared" si="2"/>
        <v>0</v>
      </c>
      <c r="J15" s="90" t="e">
        <f t="shared" si="2"/>
        <v>#VALUE!</v>
      </c>
      <c r="K15" s="90" t="e">
        <f t="shared" si="3"/>
        <v>#VALUE!</v>
      </c>
      <c r="L15" s="90" t="e">
        <f t="shared" si="3"/>
        <v>#VALUE!</v>
      </c>
      <c r="M15" s="90" t="e">
        <f t="shared" si="3"/>
        <v>#VALUE!</v>
      </c>
      <c r="N15" s="91"/>
      <c r="O15" s="92"/>
      <c r="P15" s="89" t="e">
        <f t="shared" si="4"/>
        <v>#VALUE!</v>
      </c>
      <c r="Q15" s="90" t="e">
        <f t="shared" si="4"/>
        <v>#VALUE!</v>
      </c>
      <c r="R15" s="90" t="e">
        <f t="shared" si="4"/>
        <v>#VALUE!</v>
      </c>
      <c r="S15" s="90" t="e">
        <f t="shared" si="4"/>
        <v>#VALUE!</v>
      </c>
      <c r="T15" s="90" t="e">
        <f t="shared" si="4"/>
        <v>#VALUE!</v>
      </c>
      <c r="U15" s="91"/>
      <c r="V15" s="92"/>
      <c r="W15" s="187">
        <f t="shared" si="5"/>
        <v>0</v>
      </c>
      <c r="X15" s="188"/>
      <c r="Y15" s="188"/>
      <c r="Z15" s="188"/>
      <c r="AA15" s="188"/>
      <c r="AB15" s="189"/>
    </row>
    <row r="16" spans="2:28" ht="13.5" thickBot="1" x14ac:dyDescent="0.25">
      <c r="B16" s="95"/>
      <c r="D16" s="97"/>
      <c r="E16" s="18"/>
      <c r="F16" s="88"/>
      <c r="G16" s="82">
        <f>SUMIF(Sprint!$F$4:$F$1859,E16,Sprint!$AX$4:$AX$1859)</f>
        <v>0</v>
      </c>
      <c r="H16" s="83"/>
      <c r="I16" s="89">
        <f t="shared" si="2"/>
        <v>0</v>
      </c>
      <c r="J16" s="90" t="e">
        <f t="shared" si="2"/>
        <v>#VALUE!</v>
      </c>
      <c r="K16" s="90" t="e">
        <f t="shared" si="3"/>
        <v>#VALUE!</v>
      </c>
      <c r="L16" s="90" t="e">
        <f t="shared" si="3"/>
        <v>#VALUE!</v>
      </c>
      <c r="M16" s="90" t="e">
        <f t="shared" si="3"/>
        <v>#VALUE!</v>
      </c>
      <c r="N16" s="91"/>
      <c r="O16" s="92"/>
      <c r="P16" s="89" t="e">
        <f t="shared" si="4"/>
        <v>#VALUE!</v>
      </c>
      <c r="Q16" s="90" t="e">
        <f t="shared" si="4"/>
        <v>#VALUE!</v>
      </c>
      <c r="R16" s="90" t="e">
        <f t="shared" si="4"/>
        <v>#VALUE!</v>
      </c>
      <c r="S16" s="90" t="e">
        <f t="shared" si="4"/>
        <v>#VALUE!</v>
      </c>
      <c r="T16" s="90" t="e">
        <f t="shared" si="4"/>
        <v>#VALUE!</v>
      </c>
      <c r="U16" s="91"/>
      <c r="V16" s="92"/>
      <c r="W16" s="187">
        <f t="shared" si="5"/>
        <v>0</v>
      </c>
      <c r="X16" s="188"/>
      <c r="Y16" s="188"/>
      <c r="Z16" s="188"/>
      <c r="AA16" s="188"/>
      <c r="AB16" s="189"/>
    </row>
    <row r="17" spans="2:28" ht="13.5" thickBot="1" x14ac:dyDescent="0.25">
      <c r="B17" s="95"/>
      <c r="D17" s="97"/>
      <c r="E17" s="18"/>
      <c r="F17" s="88"/>
      <c r="G17" s="82">
        <f>SUMIF(Sprint!$F$4:$F$1859,E17,Sprint!$AX$4:$AX$1859)</f>
        <v>0</v>
      </c>
      <c r="H17" s="98"/>
      <c r="I17" s="89">
        <f t="shared" si="2"/>
        <v>0</v>
      </c>
      <c r="J17" s="90" t="e">
        <f t="shared" si="2"/>
        <v>#VALUE!</v>
      </c>
      <c r="K17" s="90" t="e">
        <f t="shared" si="3"/>
        <v>#VALUE!</v>
      </c>
      <c r="L17" s="90" t="e">
        <f t="shared" si="3"/>
        <v>#VALUE!</v>
      </c>
      <c r="M17" s="90" t="e">
        <f t="shared" si="3"/>
        <v>#VALUE!</v>
      </c>
      <c r="N17" s="91"/>
      <c r="O17" s="92"/>
      <c r="P17" s="89" t="e">
        <f t="shared" si="4"/>
        <v>#VALUE!</v>
      </c>
      <c r="Q17" s="90" t="e">
        <f t="shared" si="4"/>
        <v>#VALUE!</v>
      </c>
      <c r="R17" s="90" t="e">
        <f t="shared" si="4"/>
        <v>#VALUE!</v>
      </c>
      <c r="S17" s="90" t="e">
        <f t="shared" si="4"/>
        <v>#VALUE!</v>
      </c>
      <c r="T17" s="90" t="e">
        <f t="shared" si="4"/>
        <v>#VALUE!</v>
      </c>
      <c r="U17" s="91"/>
      <c r="V17" s="92"/>
      <c r="W17" s="187">
        <f t="shared" si="5"/>
        <v>0</v>
      </c>
      <c r="X17" s="188"/>
      <c r="Y17" s="188"/>
      <c r="Z17" s="188"/>
      <c r="AA17" s="188"/>
      <c r="AB17" s="189"/>
    </row>
    <row r="18" spans="2:28" ht="13.5" thickBot="1" x14ac:dyDescent="0.25">
      <c r="B18" s="95"/>
      <c r="D18" s="97"/>
      <c r="E18" s="18"/>
      <c r="F18" s="88"/>
      <c r="G18" s="82">
        <f>SUMIF(Sprint!$F$4:$F$1859,E18,Sprint!$AX$4:$AX$1859)</f>
        <v>0</v>
      </c>
      <c r="H18" s="98"/>
      <c r="I18" s="89">
        <f t="shared" si="2"/>
        <v>0</v>
      </c>
      <c r="J18" s="90" t="e">
        <f t="shared" si="2"/>
        <v>#VALUE!</v>
      </c>
      <c r="K18" s="90" t="e">
        <f t="shared" si="3"/>
        <v>#VALUE!</v>
      </c>
      <c r="L18" s="90" t="e">
        <f t="shared" si="3"/>
        <v>#VALUE!</v>
      </c>
      <c r="M18" s="90" t="e">
        <f t="shared" si="3"/>
        <v>#VALUE!</v>
      </c>
      <c r="N18" s="91"/>
      <c r="O18" s="92"/>
      <c r="P18" s="89" t="e">
        <f t="shared" si="4"/>
        <v>#VALUE!</v>
      </c>
      <c r="Q18" s="90" t="e">
        <f t="shared" si="4"/>
        <v>#VALUE!</v>
      </c>
      <c r="R18" s="90" t="e">
        <f t="shared" si="4"/>
        <v>#VALUE!</v>
      </c>
      <c r="S18" s="90" t="e">
        <f t="shared" si="4"/>
        <v>#VALUE!</v>
      </c>
      <c r="T18" s="90" t="e">
        <f t="shared" si="4"/>
        <v>#VALUE!</v>
      </c>
      <c r="U18" s="91"/>
      <c r="V18" s="92"/>
      <c r="W18" s="187">
        <f t="shared" si="5"/>
        <v>0</v>
      </c>
      <c r="X18" s="188"/>
      <c r="Y18" s="188"/>
      <c r="Z18" s="188"/>
      <c r="AA18" s="188"/>
      <c r="AB18" s="189"/>
    </row>
    <row r="19" spans="2:28" ht="13.5" thickBot="1" x14ac:dyDescent="0.25">
      <c r="B19" s="95"/>
      <c r="D19" s="97"/>
      <c r="E19" s="18"/>
      <c r="F19" s="88"/>
      <c r="G19" s="82">
        <f>SUMIF(Sprint!$F$4:$F$1859,E19,Sprint!$AX$4:$AX$1859)</f>
        <v>0</v>
      </c>
      <c r="H19" s="98"/>
      <c r="I19" s="89">
        <f t="shared" ref="I19:I25" si="6">IF(I$6&lt;$E$3,0,IF(ISBLANK($E19),0,IF(I$6&lt;$E$2,0,1)))</f>
        <v>0</v>
      </c>
      <c r="J19" s="90" t="e">
        <f t="shared" ref="J19:J25" si="7">IF(J$6&lt;$E$3,0,IF(ISBLANK($E19),0,IF(J$6&lt;$E$2,0,1)))</f>
        <v>#VALUE!</v>
      </c>
      <c r="K19" s="90" t="e">
        <f t="shared" si="3"/>
        <v>#VALUE!</v>
      </c>
      <c r="L19" s="90" t="e">
        <f t="shared" si="3"/>
        <v>#VALUE!</v>
      </c>
      <c r="M19" s="90" t="e">
        <f t="shared" si="3"/>
        <v>#VALUE!</v>
      </c>
      <c r="N19" s="91"/>
      <c r="O19" s="92"/>
      <c r="P19" s="89" t="e">
        <f t="shared" ref="P19:Q25" si="8">IF(P$6&lt;$E$3,0,IF(ISBLANK($E19),0,IF(P$6&lt;$E$2,0,1)))</f>
        <v>#VALUE!</v>
      </c>
      <c r="Q19" s="90" t="e">
        <f t="shared" si="8"/>
        <v>#VALUE!</v>
      </c>
      <c r="R19" s="90" t="e">
        <f t="shared" ref="R19:T23" si="9">IF(R$6&lt;$E$3,0,IF(ISBLANK($E19),0,IF(R$6&lt;$E$2,0,1)))</f>
        <v>#VALUE!</v>
      </c>
      <c r="S19" s="90" t="e">
        <f t="shared" si="9"/>
        <v>#VALUE!</v>
      </c>
      <c r="T19" s="90" t="e">
        <f t="shared" si="9"/>
        <v>#VALUE!</v>
      </c>
      <c r="U19" s="91"/>
      <c r="V19" s="92"/>
      <c r="W19" s="187">
        <f t="shared" si="5"/>
        <v>0</v>
      </c>
      <c r="X19" s="188"/>
      <c r="Y19" s="188"/>
      <c r="Z19" s="188"/>
      <c r="AA19" s="188"/>
      <c r="AB19" s="189"/>
    </row>
    <row r="20" spans="2:28" ht="13.5" thickBot="1" x14ac:dyDescent="0.25">
      <c r="B20" s="95"/>
      <c r="D20" s="97"/>
      <c r="E20" s="18"/>
      <c r="F20" s="88"/>
      <c r="G20" s="82">
        <f>SUMIF(Sprint!$F$4:$F$1859,E20,Sprint!$AX$4:$AX$1859)</f>
        <v>0</v>
      </c>
      <c r="H20" s="98"/>
      <c r="I20" s="89">
        <f t="shared" si="6"/>
        <v>0</v>
      </c>
      <c r="J20" s="90" t="e">
        <f t="shared" si="7"/>
        <v>#VALUE!</v>
      </c>
      <c r="K20" s="90" t="e">
        <f t="shared" si="3"/>
        <v>#VALUE!</v>
      </c>
      <c r="L20" s="90" t="e">
        <f t="shared" si="3"/>
        <v>#VALUE!</v>
      </c>
      <c r="M20" s="90" t="e">
        <f t="shared" si="3"/>
        <v>#VALUE!</v>
      </c>
      <c r="N20" s="91"/>
      <c r="O20" s="92"/>
      <c r="P20" s="89" t="e">
        <f t="shared" si="8"/>
        <v>#VALUE!</v>
      </c>
      <c r="Q20" s="90" t="e">
        <f t="shared" si="8"/>
        <v>#VALUE!</v>
      </c>
      <c r="R20" s="90" t="e">
        <f t="shared" si="9"/>
        <v>#VALUE!</v>
      </c>
      <c r="S20" s="90" t="e">
        <f t="shared" si="9"/>
        <v>#VALUE!</v>
      </c>
      <c r="T20" s="90" t="e">
        <f t="shared" si="9"/>
        <v>#VALUE!</v>
      </c>
      <c r="U20" s="91"/>
      <c r="V20" s="92"/>
      <c r="W20" s="187">
        <f t="shared" si="5"/>
        <v>0</v>
      </c>
      <c r="X20" s="188"/>
      <c r="Y20" s="188"/>
      <c r="Z20" s="188"/>
      <c r="AA20" s="188"/>
      <c r="AB20" s="189"/>
    </row>
    <row r="21" spans="2:28" ht="13.5" thickBot="1" x14ac:dyDescent="0.25">
      <c r="B21" s="95"/>
      <c r="C21" s="99"/>
      <c r="D21" s="97"/>
      <c r="E21" s="18"/>
      <c r="F21" s="88"/>
      <c r="G21" s="82">
        <f>SUMIF(Sprint!$F$4:$F$1859,E21,Sprint!$AX$4:$AX$1859)</f>
        <v>0</v>
      </c>
      <c r="H21" s="98"/>
      <c r="I21" s="89">
        <f t="shared" si="6"/>
        <v>0</v>
      </c>
      <c r="J21" s="90" t="e">
        <f t="shared" si="7"/>
        <v>#VALUE!</v>
      </c>
      <c r="K21" s="90" t="e">
        <f t="shared" si="3"/>
        <v>#VALUE!</v>
      </c>
      <c r="L21" s="90" t="e">
        <f t="shared" si="3"/>
        <v>#VALUE!</v>
      </c>
      <c r="M21" s="90" t="e">
        <f t="shared" si="3"/>
        <v>#VALUE!</v>
      </c>
      <c r="N21" s="91"/>
      <c r="O21" s="92"/>
      <c r="P21" s="89" t="e">
        <f t="shared" si="8"/>
        <v>#VALUE!</v>
      </c>
      <c r="Q21" s="90" t="e">
        <f t="shared" si="8"/>
        <v>#VALUE!</v>
      </c>
      <c r="R21" s="90" t="e">
        <f t="shared" si="9"/>
        <v>#VALUE!</v>
      </c>
      <c r="S21" s="90" t="e">
        <f t="shared" si="9"/>
        <v>#VALUE!</v>
      </c>
      <c r="T21" s="90" t="e">
        <f t="shared" si="9"/>
        <v>#VALUE!</v>
      </c>
      <c r="U21" s="91"/>
      <c r="V21" s="92"/>
      <c r="W21" s="187">
        <f t="shared" si="5"/>
        <v>0</v>
      </c>
      <c r="X21" s="188"/>
      <c r="Y21" s="188"/>
      <c r="Z21" s="188"/>
      <c r="AA21" s="188"/>
      <c r="AB21" s="189"/>
    </row>
    <row r="22" spans="2:28" ht="13.5" thickBot="1" x14ac:dyDescent="0.25">
      <c r="B22" s="69"/>
      <c r="C22" s="100"/>
      <c r="D22" s="97"/>
      <c r="E22" s="18"/>
      <c r="F22" s="101"/>
      <c r="G22" s="82">
        <f>SUMIF(Sprint!$F$4:$F$1859,E22,Sprint!$AX$4:$AX$1859)</f>
        <v>0</v>
      </c>
      <c r="H22" s="98"/>
      <c r="I22" s="89">
        <f t="shared" si="6"/>
        <v>0</v>
      </c>
      <c r="J22" s="90" t="e">
        <f t="shared" si="7"/>
        <v>#VALUE!</v>
      </c>
      <c r="K22" s="90" t="e">
        <f t="shared" si="3"/>
        <v>#VALUE!</v>
      </c>
      <c r="L22" s="90" t="e">
        <f t="shared" si="3"/>
        <v>#VALUE!</v>
      </c>
      <c r="M22" s="90" t="e">
        <f t="shared" si="3"/>
        <v>#VALUE!</v>
      </c>
      <c r="N22" s="91"/>
      <c r="O22" s="92"/>
      <c r="P22" s="89" t="e">
        <f t="shared" si="8"/>
        <v>#VALUE!</v>
      </c>
      <c r="Q22" s="90" t="e">
        <f t="shared" si="8"/>
        <v>#VALUE!</v>
      </c>
      <c r="R22" s="90" t="e">
        <f t="shared" si="9"/>
        <v>#VALUE!</v>
      </c>
      <c r="S22" s="90" t="e">
        <f t="shared" si="9"/>
        <v>#VALUE!</v>
      </c>
      <c r="T22" s="90" t="e">
        <f t="shared" si="9"/>
        <v>#VALUE!</v>
      </c>
      <c r="U22" s="91"/>
      <c r="V22" s="92"/>
      <c r="W22" s="187">
        <f t="shared" si="5"/>
        <v>0</v>
      </c>
      <c r="X22" s="188"/>
      <c r="Y22" s="188"/>
      <c r="Z22" s="188"/>
      <c r="AA22" s="188"/>
      <c r="AB22" s="189"/>
    </row>
    <row r="23" spans="2:28" ht="13.5" thickBot="1" x14ac:dyDescent="0.25">
      <c r="B23" s="69"/>
      <c r="D23" s="97"/>
      <c r="E23" s="18"/>
      <c r="F23" s="101"/>
      <c r="G23" s="82">
        <f>SUMIF(Sprint!$F$4:$F$1859,E23,Sprint!$AX$4:$AX$1859)</f>
        <v>0</v>
      </c>
      <c r="H23" s="98"/>
      <c r="I23" s="89">
        <f t="shared" si="6"/>
        <v>0</v>
      </c>
      <c r="J23" s="90" t="e">
        <f t="shared" si="7"/>
        <v>#VALUE!</v>
      </c>
      <c r="K23" s="90" t="e">
        <f t="shared" si="3"/>
        <v>#VALUE!</v>
      </c>
      <c r="L23" s="90" t="e">
        <f t="shared" si="3"/>
        <v>#VALUE!</v>
      </c>
      <c r="M23" s="90" t="e">
        <f t="shared" si="3"/>
        <v>#VALUE!</v>
      </c>
      <c r="N23" s="91"/>
      <c r="O23" s="92"/>
      <c r="P23" s="89" t="e">
        <f t="shared" si="8"/>
        <v>#VALUE!</v>
      </c>
      <c r="Q23" s="90" t="e">
        <f t="shared" si="8"/>
        <v>#VALUE!</v>
      </c>
      <c r="R23" s="90" t="e">
        <f t="shared" si="9"/>
        <v>#VALUE!</v>
      </c>
      <c r="S23" s="90" t="e">
        <f t="shared" si="9"/>
        <v>#VALUE!</v>
      </c>
      <c r="T23" s="90" t="e">
        <f t="shared" si="9"/>
        <v>#VALUE!</v>
      </c>
      <c r="U23" s="91"/>
      <c r="V23" s="92"/>
      <c r="W23" s="187">
        <f t="shared" si="5"/>
        <v>0</v>
      </c>
      <c r="X23" s="188"/>
      <c r="Y23" s="188"/>
      <c r="Z23" s="188"/>
      <c r="AA23" s="188"/>
      <c r="AB23" s="189"/>
    </row>
    <row r="24" spans="2:28" ht="13.5" thickBot="1" x14ac:dyDescent="0.25">
      <c r="B24" s="95"/>
      <c r="D24" s="97"/>
      <c r="E24" s="18"/>
      <c r="F24" s="101"/>
      <c r="G24" s="82">
        <f>SUMIF(Sprint!$F$4:$F$1859,E24,Sprint!$AX$4:$AX$1859)</f>
        <v>0</v>
      </c>
      <c r="H24" s="98"/>
      <c r="I24" s="89">
        <f t="shared" si="6"/>
        <v>0</v>
      </c>
      <c r="J24" s="90" t="e">
        <f t="shared" si="7"/>
        <v>#VALUE!</v>
      </c>
      <c r="K24" s="90" t="e">
        <f t="shared" ref="K24:M25" si="10">IF(K$6&lt;$E$3,0,IF(ISBLANK($E24),0,IF(K$6&lt;$E$2,0,1)))</f>
        <v>#VALUE!</v>
      </c>
      <c r="L24" s="90" t="e">
        <f t="shared" si="10"/>
        <v>#VALUE!</v>
      </c>
      <c r="M24" s="90" t="e">
        <f t="shared" si="10"/>
        <v>#VALUE!</v>
      </c>
      <c r="N24" s="91"/>
      <c r="O24" s="92"/>
      <c r="P24" s="89" t="e">
        <f t="shared" si="8"/>
        <v>#VALUE!</v>
      </c>
      <c r="Q24" s="90" t="e">
        <f t="shared" si="8"/>
        <v>#VALUE!</v>
      </c>
      <c r="R24" s="90" t="e">
        <f t="shared" ref="R24:T25" si="11">IF(R$6&lt;$E$3,0,IF(ISBLANK($E24),0,IF(R$6&lt;$E$2,0,1)))</f>
        <v>#VALUE!</v>
      </c>
      <c r="S24" s="90" t="e">
        <f t="shared" si="11"/>
        <v>#VALUE!</v>
      </c>
      <c r="T24" s="90" t="e">
        <f t="shared" si="11"/>
        <v>#VALUE!</v>
      </c>
      <c r="U24" s="91"/>
      <c r="V24" s="92"/>
      <c r="W24" s="187">
        <f t="shared" si="5"/>
        <v>0</v>
      </c>
      <c r="X24" s="188"/>
      <c r="Y24" s="188"/>
      <c r="Z24" s="188"/>
      <c r="AA24" s="188"/>
      <c r="AB24" s="189"/>
    </row>
    <row r="25" spans="2:28" ht="13.5" thickBot="1" x14ac:dyDescent="0.25">
      <c r="B25" s="95"/>
      <c r="D25" s="97"/>
      <c r="E25" s="102"/>
      <c r="F25" s="103"/>
      <c r="G25" s="82">
        <f>SUMIF(Sprint!$F$4:$F$1859,E25,Sprint!$AX$4:$AX$1859)</f>
        <v>0</v>
      </c>
      <c r="H25" s="98"/>
      <c r="I25" s="104">
        <f t="shared" si="6"/>
        <v>0</v>
      </c>
      <c r="J25" s="105" t="e">
        <f t="shared" si="7"/>
        <v>#VALUE!</v>
      </c>
      <c r="K25" s="105" t="e">
        <f t="shared" si="10"/>
        <v>#VALUE!</v>
      </c>
      <c r="L25" s="105" t="e">
        <f t="shared" si="10"/>
        <v>#VALUE!</v>
      </c>
      <c r="M25" s="105" t="e">
        <f t="shared" si="10"/>
        <v>#VALUE!</v>
      </c>
      <c r="N25" s="106"/>
      <c r="O25" s="107"/>
      <c r="P25" s="104" t="e">
        <f t="shared" si="8"/>
        <v>#VALUE!</v>
      </c>
      <c r="Q25" s="105" t="e">
        <f t="shared" si="8"/>
        <v>#VALUE!</v>
      </c>
      <c r="R25" s="105" t="e">
        <f t="shared" si="11"/>
        <v>#VALUE!</v>
      </c>
      <c r="S25" s="105" t="e">
        <f t="shared" si="11"/>
        <v>#VALUE!</v>
      </c>
      <c r="T25" s="105" t="e">
        <f t="shared" si="11"/>
        <v>#VALUE!</v>
      </c>
      <c r="U25" s="106"/>
      <c r="V25" s="107"/>
      <c r="W25" s="187">
        <f t="shared" si="5"/>
        <v>0</v>
      </c>
      <c r="X25" s="188"/>
      <c r="Y25" s="188"/>
      <c r="Z25" s="188"/>
      <c r="AA25" s="188"/>
      <c r="AB25" s="189"/>
    </row>
    <row r="26" spans="2:28" x14ac:dyDescent="0.2">
      <c r="B26" s="95"/>
      <c r="D26" s="97"/>
      <c r="E26" s="108"/>
      <c r="F26" s="99"/>
      <c r="G26" s="109"/>
      <c r="I26" s="110"/>
      <c r="J26" s="111"/>
      <c r="K26" s="111"/>
      <c r="L26" s="111"/>
      <c r="M26" s="111"/>
      <c r="N26" s="112"/>
      <c r="O26" s="112"/>
      <c r="P26" s="111"/>
      <c r="Q26" s="111"/>
      <c r="R26" s="111"/>
      <c r="S26" s="111"/>
      <c r="T26" s="111"/>
      <c r="U26" s="112"/>
      <c r="V26" s="112"/>
      <c r="W26" s="113"/>
      <c r="X26" s="113"/>
      <c r="Y26" s="113"/>
      <c r="Z26" s="113"/>
      <c r="AA26" s="113"/>
      <c r="AB26" s="114"/>
    </row>
    <row r="27" spans="2:28" ht="13.5" thickBot="1" x14ac:dyDescent="0.25">
      <c r="B27" s="115"/>
      <c r="C27" s="116"/>
      <c r="D27" s="116"/>
      <c r="E27" s="117"/>
      <c r="F27" s="117"/>
      <c r="G27" s="118"/>
      <c r="I27" s="119"/>
      <c r="J27" s="117"/>
      <c r="K27" s="117"/>
      <c r="L27" s="117"/>
      <c r="M27" s="120"/>
      <c r="N27" s="120"/>
      <c r="O27" s="120"/>
      <c r="P27" s="120"/>
      <c r="Q27" s="120"/>
      <c r="R27" s="117"/>
      <c r="S27" s="117"/>
      <c r="T27" s="120"/>
      <c r="U27" s="120"/>
      <c r="V27" s="120"/>
      <c r="W27" s="117"/>
      <c r="X27" s="117"/>
      <c r="Y27" s="117"/>
      <c r="Z27" s="117"/>
      <c r="AA27" s="117"/>
      <c r="AB27" s="118"/>
    </row>
    <row r="29" spans="2:28" x14ac:dyDescent="0.2">
      <c r="I29" s="121" t="s">
        <v>51</v>
      </c>
      <c r="J29" s="43" t="s">
        <v>40</v>
      </c>
      <c r="K29" s="43" t="s">
        <v>52</v>
      </c>
      <c r="Q29" s="121" t="s">
        <v>50</v>
      </c>
      <c r="R29" s="43" t="s">
        <v>40</v>
      </c>
      <c r="S29" s="43" t="s">
        <v>54</v>
      </c>
    </row>
    <row r="30" spans="2:28" x14ac:dyDescent="0.2">
      <c r="C30" s="122"/>
      <c r="D30" s="122"/>
    </row>
    <row r="31" spans="2:28" x14ac:dyDescent="0.2">
      <c r="B31" s="97"/>
      <c r="C31" s="122"/>
      <c r="D31" s="122"/>
      <c r="E31" s="123"/>
      <c r="J31" s="6"/>
    </row>
    <row r="32" spans="2:28" x14ac:dyDescent="0.2">
      <c r="C32" s="122"/>
      <c r="D32" s="122"/>
      <c r="E32" s="123"/>
      <c r="F32" s="53"/>
    </row>
    <row r="37" spans="2:22" x14ac:dyDescent="0.2">
      <c r="I37" s="124"/>
    </row>
    <row r="38" spans="2:22" x14ac:dyDescent="0.2">
      <c r="J38" s="125"/>
      <c r="K38" s="126"/>
      <c r="L38" s="126"/>
      <c r="M38" s="126"/>
      <c r="N38" s="126"/>
      <c r="O38" s="126"/>
      <c r="Q38" s="125"/>
      <c r="R38" s="126"/>
      <c r="S38" s="126"/>
      <c r="T38" s="126"/>
      <c r="U38" s="126"/>
      <c r="V38" s="126"/>
    </row>
    <row r="40" spans="2:22" x14ac:dyDescent="0.2">
      <c r="E40" s="6"/>
    </row>
    <row r="45" spans="2:22" x14ac:dyDescent="0.2">
      <c r="B45" s="127"/>
      <c r="E45" s="124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434" priority="2" stopIfTrue="1">
      <formula>G8&gt;W8</formula>
    </cfRule>
  </conditionalFormatting>
  <conditionalFormatting sqref="I8:M25 P8:T25">
    <cfRule type="cellIs" dxfId="433" priority="5" stopIfTrue="1" operator="equal">
      <formula>"H"</formula>
    </cfRule>
    <cfRule type="cellIs" dxfId="432" priority="6" stopIfTrue="1" operator="equal">
      <formula>"V"</formula>
    </cfRule>
    <cfRule type="expression" dxfId="431" priority="7" stopIfTrue="1">
      <formula>IF(I$6&lt;$E$2,1,0)</formula>
    </cfRule>
  </conditionalFormatting>
  <conditionalFormatting sqref="X30:X34 X26:X28 J32:J34 J26:J30 I26:I34 Q29 T26:W34 N8:O25 K26:O34 U8:V25 P30:S34 P26:S28">
    <cfRule type="cellIs" dxfId="430" priority="13" stopIfTrue="1" operator="equal">
      <formula>"DIO"</formula>
    </cfRule>
    <cfRule type="cellIs" dxfId="429" priority="14" stopIfTrue="1" operator="equal">
      <formula>"H"</formula>
    </cfRule>
    <cfRule type="cellIs" dxfId="428" priority="15" stopIfTrue="1" operator="equal">
      <formula>"V"</formula>
    </cfRule>
  </conditionalFormatting>
  <conditionalFormatting sqref="P6">
    <cfRule type="expression" dxfId="427" priority="21" stopIfTrue="1">
      <formula>P$6=TODAY()</formula>
    </cfRule>
    <cfRule type="expression" dxfId="426" priority="22" stopIfTrue="1">
      <formula>IF((P$6+1-$E$3)=$F$6,1,0)</formula>
    </cfRule>
  </conditionalFormatting>
  <conditionalFormatting sqref="Q6:V6 J6:O6">
    <cfRule type="expression" dxfId="425" priority="23" stopIfTrue="1">
      <formula>J$6=TODAY()</formula>
    </cfRule>
    <cfRule type="expression" dxfId="424" priority="24" stopIfTrue="1">
      <formula>IF((J$6+1-$E$3)=$F$6,1,0)</formula>
    </cfRule>
  </conditionalFormatting>
  <conditionalFormatting sqref="I6">
    <cfRule type="expression" dxfId="423" priority="25" stopIfTrue="1">
      <formula>I$6=TODAY()</formula>
    </cfRule>
    <cfRule type="expression" dxfId="422" priority="26" stopIfTrue="1">
      <formula>IF((J$6+1-$E$3)=$F$6,1,0)</formula>
    </cfRule>
  </conditionalFormatting>
  <conditionalFormatting sqref="F26:F27 F8:F21">
    <cfRule type="expression" dxfId="421" priority="1" stopIfTrue="1">
      <formula>H8&gt;X8</formula>
    </cfRule>
  </conditionalFormatting>
  <conditionalFormatting sqref="F30:F33">
    <cfRule type="expression" dxfId="420" priority="4" stopIfTrue="1">
      <formula>H28&gt;X28</formula>
    </cfRule>
  </conditionalFormatting>
  <conditionalFormatting sqref="C10">
    <cfRule type="cellIs" dxfId="419" priority="8" stopIfTrue="1" operator="greaterThan">
      <formula>0</formula>
    </cfRule>
    <cfRule type="cellIs" dxfId="418" priority="9" stopIfTrue="1" operator="lessThanOrEqual">
      <formula>0</formula>
    </cfRule>
  </conditionalFormatting>
  <conditionalFormatting sqref="C22 D14:D15 D6:D12 C6:C9">
    <cfRule type="cellIs" dxfId="417" priority="10" stopIfTrue="1" operator="equal">
      <formula>"3A"</formula>
    </cfRule>
    <cfRule type="cellIs" dxfId="416" priority="11" stopIfTrue="1" operator="equal">
      <formula>"3B"</formula>
    </cfRule>
  </conditionalFormatting>
  <conditionalFormatting sqref="G32:G34 G6">
    <cfRule type="cellIs" dxfId="415" priority="12" stopIfTrue="1" operator="equal">
      <formula>"Done"</formula>
    </cfRule>
  </conditionalFormatting>
  <conditionalFormatting sqref="I7:K7 M7:W7">
    <cfRule type="cellIs" dxfId="414" priority="16" stopIfTrue="1" operator="equal">
      <formula>"DIO"</formula>
    </cfRule>
    <cfRule type="cellIs" dxfId="413" priority="17" stopIfTrue="1" operator="equal">
      <formula>"H"</formula>
    </cfRule>
    <cfRule type="cellIs" dxfId="412" priority="18" stopIfTrue="1" operator="equal">
      <formula>"V"</formula>
    </cfRule>
  </conditionalFormatting>
  <conditionalFormatting sqref="L7">
    <cfRule type="cellIs" dxfId="411" priority="19" stopIfTrue="1" operator="equal">
      <formula>"DIO"</formula>
    </cfRule>
    <cfRule type="cellIs" dxfId="41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G35" sqref="G35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8"/>
    </row>
    <row r="19" spans="1:18" x14ac:dyDescent="0.2">
      <c r="A19" s="159" t="str">
        <f>IF(SkipWeekends, "Working Day", "Calendar Day")</f>
        <v>Working Day</v>
      </c>
      <c r="B19" s="160"/>
      <c r="C19" s="161"/>
      <c r="D19" s="162"/>
      <c r="E19" s="161">
        <v>1</v>
      </c>
      <c r="F19" s="161">
        <v>2</v>
      </c>
      <c r="G19" s="161">
        <v>3</v>
      </c>
      <c r="H19" s="161">
        <v>4</v>
      </c>
      <c r="I19" s="161">
        <v>5</v>
      </c>
      <c r="J19" s="161">
        <v>6</v>
      </c>
      <c r="K19" s="161">
        <v>7</v>
      </c>
      <c r="L19" s="161">
        <v>8</v>
      </c>
      <c r="M19" s="161">
        <v>9</v>
      </c>
      <c r="N19" s="161">
        <v>10</v>
      </c>
      <c r="O19" s="161">
        <v>11</v>
      </c>
      <c r="P19" s="161">
        <v>12</v>
      </c>
      <c r="Q19" s="161">
        <v>13</v>
      </c>
      <c r="R19" s="161">
        <v>14</v>
      </c>
    </row>
    <row r="20" spans="1:18" x14ac:dyDescent="0.2">
      <c r="A20" s="159" t="s">
        <v>21</v>
      </c>
      <c r="B20" s="160"/>
      <c r="C20" s="161"/>
      <c r="D20" s="162"/>
      <c r="E20" s="163">
        <f t="shared" ref="E20:R20" si="0">INDEX(SprintDates,1,(E19-1)*BurndownColumns+1)</f>
        <v>42310</v>
      </c>
      <c r="F20" s="163">
        <f t="shared" si="0"/>
        <v>42311</v>
      </c>
      <c r="G20" s="163">
        <f t="shared" si="0"/>
        <v>42312</v>
      </c>
      <c r="H20" s="163">
        <f t="shared" si="0"/>
        <v>42313</v>
      </c>
      <c r="I20" s="163">
        <f t="shared" si="0"/>
        <v>42314</v>
      </c>
      <c r="J20" s="163">
        <f t="shared" si="0"/>
        <v>42317</v>
      </c>
      <c r="K20" s="163">
        <f t="shared" si="0"/>
        <v>42318</v>
      </c>
      <c r="L20" s="163">
        <f t="shared" si="0"/>
        <v>42319</v>
      </c>
      <c r="M20" s="163">
        <f t="shared" si="0"/>
        <v>42320</v>
      </c>
      <c r="N20" s="163">
        <f t="shared" si="0"/>
        <v>42321</v>
      </c>
      <c r="O20" s="163">
        <f t="shared" si="0"/>
        <v>42324</v>
      </c>
      <c r="P20" s="163">
        <f t="shared" si="0"/>
        <v>42325</v>
      </c>
      <c r="Q20" s="163">
        <f t="shared" si="0"/>
        <v>42326</v>
      </c>
      <c r="R20" s="163">
        <f t="shared" si="0"/>
        <v>42327</v>
      </c>
    </row>
    <row r="21" spans="1:18" x14ac:dyDescent="0.2">
      <c r="A21" s="159"/>
      <c r="B21" s="160"/>
      <c r="C21" s="161"/>
      <c r="D21" s="162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</row>
    <row r="22" spans="1:18" x14ac:dyDescent="0.2">
      <c r="A22" s="159" t="s">
        <v>8</v>
      </c>
      <c r="B22" s="161"/>
      <c r="C22" s="164"/>
      <c r="D22" s="165"/>
      <c r="E22" s="161">
        <f t="shared" ref="E22:R22" ca="1" si="1">IF(E20&gt;TODAY(), #N/A, SUM(INDEX(Burndown,,(E19-1)*BurndownColumns+HoursLeftColumn)))</f>
        <v>137</v>
      </c>
      <c r="F22" s="161">
        <f t="shared" ca="1" si="1"/>
        <v>115</v>
      </c>
      <c r="G22" s="161">
        <f t="shared" ca="1" si="1"/>
        <v>92</v>
      </c>
      <c r="H22" s="161">
        <f t="shared" ca="1" si="1"/>
        <v>75</v>
      </c>
      <c r="I22" s="161">
        <f t="shared" ca="1" si="1"/>
        <v>58</v>
      </c>
      <c r="J22" s="161">
        <f t="shared" ca="1" si="1"/>
        <v>42</v>
      </c>
      <c r="K22" s="161">
        <f t="shared" ca="1" si="1"/>
        <v>35</v>
      </c>
      <c r="L22" s="161">
        <f t="shared" ca="1" si="1"/>
        <v>28</v>
      </c>
      <c r="M22" s="161">
        <f t="shared" ca="1" si="1"/>
        <v>20</v>
      </c>
      <c r="N22" s="161">
        <f t="shared" ca="1" si="1"/>
        <v>12</v>
      </c>
      <c r="O22" s="161">
        <f t="shared" ca="1" si="1"/>
        <v>5</v>
      </c>
      <c r="P22" s="161">
        <f t="shared" ca="1" si="1"/>
        <v>0</v>
      </c>
      <c r="Q22" s="161">
        <f t="shared" ca="1" si="1"/>
        <v>0</v>
      </c>
      <c r="R22" s="161">
        <f t="shared" ca="1" si="1"/>
        <v>0</v>
      </c>
    </row>
    <row r="23" spans="1:18" x14ac:dyDescent="0.2">
      <c r="A23" s="166" t="s">
        <v>20</v>
      </c>
      <c r="B23" s="164"/>
      <c r="C23" s="164"/>
      <c r="D23" s="165"/>
      <c r="E23" s="162">
        <f t="shared" ref="E23:R23" ca="1" si="2">IF(E20&gt;TODAY(), #N/A, SUM(INDEX(Burndown,,(E19-1)*BurndownColumns+HoursSpentColumn)))</f>
        <v>16</v>
      </c>
      <c r="F23" s="162">
        <f t="shared" ca="1" si="2"/>
        <v>20</v>
      </c>
      <c r="G23" s="162">
        <f t="shared" ca="1" si="2"/>
        <v>23</v>
      </c>
      <c r="H23" s="162">
        <f t="shared" ca="1" si="2"/>
        <v>17</v>
      </c>
      <c r="I23" s="162">
        <f t="shared" ca="1" si="2"/>
        <v>17</v>
      </c>
      <c r="J23" s="162">
        <f t="shared" ca="1" si="2"/>
        <v>16</v>
      </c>
      <c r="K23" s="162">
        <f t="shared" ca="1" si="2"/>
        <v>8</v>
      </c>
      <c r="L23" s="162">
        <f t="shared" ca="1" si="2"/>
        <v>7</v>
      </c>
      <c r="M23" s="162">
        <f t="shared" ca="1" si="2"/>
        <v>8</v>
      </c>
      <c r="N23" s="162">
        <f t="shared" ca="1" si="2"/>
        <v>8</v>
      </c>
      <c r="O23" s="162">
        <f t="shared" ca="1" si="2"/>
        <v>7</v>
      </c>
      <c r="P23" s="162">
        <f t="shared" ca="1" si="2"/>
        <v>5</v>
      </c>
      <c r="Q23" s="162">
        <f t="shared" ca="1" si="2"/>
        <v>0</v>
      </c>
      <c r="R23" s="162">
        <f t="shared" ca="1" si="2"/>
        <v>0</v>
      </c>
    </row>
    <row r="24" spans="1:18" x14ac:dyDescent="0.2">
      <c r="A24" s="166" t="s">
        <v>3</v>
      </c>
      <c r="B24" s="164"/>
      <c r="C24" s="164"/>
      <c r="D24" s="165"/>
      <c r="E24" s="162">
        <f ca="1">IF(E20&gt;TODAY(), #N/A, SUM($E23:E23))</f>
        <v>16</v>
      </c>
      <c r="F24" s="162">
        <f ca="1">IF(F20&gt;TODAY(), #N/A, SUM($E23:F23))</f>
        <v>36</v>
      </c>
      <c r="G24" s="162">
        <f ca="1">IF(G20&gt;TODAY(), #N/A, SUM($E23:G23))</f>
        <v>59</v>
      </c>
      <c r="H24" s="162">
        <f ca="1">IF(H20&gt;TODAY(), #N/A, SUM($E23:H23))</f>
        <v>76</v>
      </c>
      <c r="I24" s="162">
        <f ca="1">IF(I20&gt;TODAY(), #N/A, SUM($E23:I23))</f>
        <v>93</v>
      </c>
      <c r="J24" s="162">
        <f ca="1">IF(J20&gt;TODAY(), #N/A, SUM($E23:J23))</f>
        <v>109</v>
      </c>
      <c r="K24" s="162">
        <f ca="1">IF(K20&gt;TODAY(), #N/A, SUM($E23:K23))</f>
        <v>117</v>
      </c>
      <c r="L24" s="162">
        <f ca="1">IF(L20&gt;TODAY(), #N/A, SUM($E23:L23))</f>
        <v>124</v>
      </c>
      <c r="M24" s="162">
        <f ca="1">IF(M20&gt;TODAY(), #N/A, SUM($E23:M23))</f>
        <v>132</v>
      </c>
      <c r="N24" s="162">
        <f ca="1">IF(N20&gt;TODAY(), #N/A, SUM($E23:N23))</f>
        <v>140</v>
      </c>
      <c r="O24" s="162">
        <f ca="1">IF(O20&gt;TODAY(), #N/A, SUM($E23:O23))</f>
        <v>147</v>
      </c>
      <c r="P24" s="162">
        <f ca="1">IF(P20&gt;TODAY(), #N/A, SUM($E23:P23))</f>
        <v>152</v>
      </c>
      <c r="Q24" s="162">
        <f ca="1">IF(Q20&gt;TODAY(), #N/A, SUM($E23:Q23))</f>
        <v>152</v>
      </c>
      <c r="R24" s="162">
        <f ca="1">IF(R20&gt;TODAY(), #N/A, SUM($E23:R23))</f>
        <v>152</v>
      </c>
    </row>
    <row r="25" spans="1:18" x14ac:dyDescent="0.2">
      <c r="A25" s="166" t="s">
        <v>22</v>
      </c>
      <c r="B25" s="164"/>
      <c r="C25" s="164"/>
      <c r="D25" s="165"/>
      <c r="E25" s="162">
        <f t="shared" ref="E25:R25" ca="1" si="3">IF(E20&gt;TODAY(), #N/A, E22+E24)</f>
        <v>153</v>
      </c>
      <c r="F25" s="162">
        <f t="shared" ca="1" si="3"/>
        <v>151</v>
      </c>
      <c r="G25" s="162">
        <f t="shared" ca="1" si="3"/>
        <v>151</v>
      </c>
      <c r="H25" s="162">
        <f t="shared" ca="1" si="3"/>
        <v>151</v>
      </c>
      <c r="I25" s="162">
        <f t="shared" ca="1" si="3"/>
        <v>151</v>
      </c>
      <c r="J25" s="162">
        <f t="shared" ca="1" si="3"/>
        <v>151</v>
      </c>
      <c r="K25" s="162">
        <f t="shared" ca="1" si="3"/>
        <v>152</v>
      </c>
      <c r="L25" s="162">
        <f t="shared" ca="1" si="3"/>
        <v>152</v>
      </c>
      <c r="M25" s="162">
        <f t="shared" ca="1" si="3"/>
        <v>152</v>
      </c>
      <c r="N25" s="162">
        <f t="shared" ca="1" si="3"/>
        <v>152</v>
      </c>
      <c r="O25" s="162">
        <f t="shared" ca="1" si="3"/>
        <v>152</v>
      </c>
      <c r="P25" s="162">
        <f t="shared" ca="1" si="3"/>
        <v>152</v>
      </c>
      <c r="Q25" s="162">
        <f t="shared" ca="1" si="3"/>
        <v>152</v>
      </c>
      <c r="R25" s="162">
        <f t="shared" ca="1" si="3"/>
        <v>152</v>
      </c>
    </row>
    <row r="26" spans="1:18" x14ac:dyDescent="0.2">
      <c r="A26" s="166"/>
      <c r="B26" s="164"/>
      <c r="C26" s="164"/>
      <c r="D26" s="165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</row>
    <row r="27" spans="1:18" x14ac:dyDescent="0.2">
      <c r="A27" s="159" t="s">
        <v>4</v>
      </c>
      <c r="B27" s="164"/>
      <c r="C27" s="161"/>
      <c r="D27" s="165"/>
      <c r="E27" s="167">
        <f t="shared" ref="E27:R27" ca="1" si="4">IF(E20&gt;TODAY(), #N/A, E24/E19)</f>
        <v>16</v>
      </c>
      <c r="F27" s="167">
        <f t="shared" ca="1" si="4"/>
        <v>18</v>
      </c>
      <c r="G27" s="167">
        <f t="shared" ca="1" si="4"/>
        <v>19.666666666666668</v>
      </c>
      <c r="H27" s="167">
        <f t="shared" ca="1" si="4"/>
        <v>19</v>
      </c>
      <c r="I27" s="167">
        <f t="shared" ca="1" si="4"/>
        <v>18.600000000000001</v>
      </c>
      <c r="J27" s="167">
        <f t="shared" ca="1" si="4"/>
        <v>18.166666666666668</v>
      </c>
      <c r="K27" s="167">
        <f t="shared" ca="1" si="4"/>
        <v>16.714285714285715</v>
      </c>
      <c r="L27" s="167">
        <f t="shared" ca="1" si="4"/>
        <v>15.5</v>
      </c>
      <c r="M27" s="167">
        <f t="shared" ca="1" si="4"/>
        <v>14.666666666666666</v>
      </c>
      <c r="N27" s="167">
        <f t="shared" ca="1" si="4"/>
        <v>14</v>
      </c>
      <c r="O27" s="167">
        <f t="shared" ca="1" si="4"/>
        <v>13.363636363636363</v>
      </c>
      <c r="P27" s="167">
        <f t="shared" ca="1" si="4"/>
        <v>12.666666666666666</v>
      </c>
      <c r="Q27" s="167">
        <f t="shared" ca="1" si="4"/>
        <v>11.692307692307692</v>
      </c>
      <c r="R27" s="167">
        <f t="shared" ca="1" si="4"/>
        <v>10.857142857142858</v>
      </c>
    </row>
    <row r="28" spans="1:18" x14ac:dyDescent="0.2">
      <c r="A28" s="166" t="s">
        <v>5</v>
      </c>
      <c r="B28" s="164"/>
      <c r="C28" s="164"/>
      <c r="D28" s="165"/>
      <c r="E28" s="168">
        <f t="shared" ref="E28:R28" ca="1" si="5">IF(E20&gt;TODAY(), #N/A, IF(E27=0, SprintStart, E20 + (E22/E27)))</f>
        <v>42318.5625</v>
      </c>
      <c r="F28" s="168">
        <f t="shared" ca="1" si="5"/>
        <v>42317.388888888891</v>
      </c>
      <c r="G28" s="168">
        <f t="shared" ca="1" si="5"/>
        <v>42316.677966101692</v>
      </c>
      <c r="H28" s="168">
        <f t="shared" ca="1" si="5"/>
        <v>42316.947368421053</v>
      </c>
      <c r="I28" s="168">
        <f t="shared" ca="1" si="5"/>
        <v>42317.118279569891</v>
      </c>
      <c r="J28" s="168">
        <f t="shared" ca="1" si="5"/>
        <v>42319.311926605507</v>
      </c>
      <c r="K28" s="168">
        <f t="shared" ca="1" si="5"/>
        <v>42320.094017094016</v>
      </c>
      <c r="L28" s="168">
        <f t="shared" ca="1" si="5"/>
        <v>42320.806451612902</v>
      </c>
      <c r="M28" s="168">
        <f t="shared" ca="1" si="5"/>
        <v>42321.36363636364</v>
      </c>
      <c r="N28" s="168">
        <f t="shared" ca="1" si="5"/>
        <v>42321.857142857145</v>
      </c>
      <c r="O28" s="168">
        <f t="shared" ca="1" si="5"/>
        <v>42324.374149659867</v>
      </c>
      <c r="P28" s="168">
        <f t="shared" ca="1" si="5"/>
        <v>42325</v>
      </c>
      <c r="Q28" s="168">
        <f t="shared" ca="1" si="5"/>
        <v>42326</v>
      </c>
      <c r="R28" s="168">
        <f t="shared" ca="1" si="5"/>
        <v>42327</v>
      </c>
    </row>
    <row r="29" spans="1:18" x14ac:dyDescent="0.2">
      <c r="A29" s="166" t="s">
        <v>31</v>
      </c>
      <c r="B29" s="164"/>
      <c r="C29" s="164"/>
      <c r="D29" s="165"/>
      <c r="E29" s="168">
        <f t="shared" ref="E29:R29" ca="1" si="6">IF(E$20&gt;TODAY(), #N/A, IF(E$33&gt;0, SprintStart+((E$25*E$19)/E$33)-1, SprintStart))</f>
        <v>42310</v>
      </c>
      <c r="F29" s="168">
        <f t="shared" ca="1" si="6"/>
        <v>42330.571428571428</v>
      </c>
      <c r="G29" s="168">
        <f t="shared" ca="1" si="6"/>
        <v>42318.4375</v>
      </c>
      <c r="H29" s="168">
        <f t="shared" ca="1" si="6"/>
        <v>42319.413793103449</v>
      </c>
      <c r="I29" s="168">
        <f t="shared" ca="1" si="6"/>
        <v>42319.633802816905</v>
      </c>
      <c r="J29" s="168">
        <f t="shared" ca="1" si="6"/>
        <v>42320.615384615383</v>
      </c>
      <c r="K29" s="168">
        <f t="shared" ca="1" si="6"/>
        <v>42321.666666666664</v>
      </c>
      <c r="L29" s="168">
        <f t="shared" ca="1" si="6"/>
        <v>42323.476190476191</v>
      </c>
      <c r="M29" s="168">
        <f t="shared" ca="1" si="6"/>
        <v>42325.285714285717</v>
      </c>
      <c r="N29" s="168">
        <f t="shared" ca="1" si="6"/>
        <v>42321.881355932201</v>
      </c>
      <c r="O29" s="168">
        <f t="shared" ca="1" si="6"/>
        <v>42322.704918032789</v>
      </c>
      <c r="P29" s="168">
        <f t="shared" ca="1" si="6"/>
        <v>42321</v>
      </c>
      <c r="Q29" s="168">
        <f t="shared" ca="1" si="6"/>
        <v>42322</v>
      </c>
      <c r="R29" s="168">
        <f t="shared" ca="1" si="6"/>
        <v>42323</v>
      </c>
    </row>
    <row r="30" spans="1:18" x14ac:dyDescent="0.2">
      <c r="A30" s="166"/>
      <c r="B30" s="164"/>
      <c r="C30" s="164"/>
      <c r="D30" s="165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</row>
    <row r="31" spans="1:18" x14ac:dyDescent="0.2">
      <c r="A31" s="166" t="s">
        <v>27</v>
      </c>
      <c r="B31" s="164"/>
      <c r="C31" s="164"/>
      <c r="D31" s="165"/>
      <c r="E31" s="164">
        <f t="shared" ref="E31:R31" ca="1" si="7">IF(E$20&gt;TODAY(), #N/A, SUMIF(INDEX(Burndown,,(E$19-1)*BurndownColumns+StatusColumn), "=Pending",INDEX(Burndown,,(E$19-1)*BurndownColumns+HoursLeftColumn)))</f>
        <v>97</v>
      </c>
      <c r="F31" s="164">
        <f t="shared" ca="1" si="7"/>
        <v>63</v>
      </c>
      <c r="G31" s="164">
        <f t="shared" ca="1" si="7"/>
        <v>46</v>
      </c>
      <c r="H31" s="164">
        <f t="shared" ca="1" si="7"/>
        <v>34</v>
      </c>
      <c r="I31" s="164">
        <f t="shared" ca="1" si="7"/>
        <v>22</v>
      </c>
      <c r="J31" s="164">
        <f t="shared" ca="1" si="7"/>
        <v>16</v>
      </c>
      <c r="K31" s="164">
        <f t="shared" ca="1" si="7"/>
        <v>14</v>
      </c>
      <c r="L31" s="164">
        <f t="shared" ca="1" si="7"/>
        <v>12</v>
      </c>
      <c r="M31" s="164">
        <f t="shared" ca="1" si="7"/>
        <v>8</v>
      </c>
      <c r="N31" s="164">
        <f t="shared" ca="1" si="7"/>
        <v>4</v>
      </c>
      <c r="O31" s="164">
        <f t="shared" ca="1" si="7"/>
        <v>2</v>
      </c>
      <c r="P31" s="164">
        <f t="shared" ca="1" si="7"/>
        <v>0</v>
      </c>
      <c r="Q31" s="164">
        <f t="shared" ca="1" si="7"/>
        <v>0</v>
      </c>
      <c r="R31" s="164">
        <f t="shared" ca="1" si="7"/>
        <v>0</v>
      </c>
    </row>
    <row r="32" spans="1:18" x14ac:dyDescent="0.2">
      <c r="A32" s="166" t="s">
        <v>28</v>
      </c>
      <c r="B32" s="164"/>
      <c r="C32" s="164"/>
      <c r="D32" s="165"/>
      <c r="E32" s="169">
        <f t="shared" ref="E32:R32" ca="1" si="8">E$22-E$31+E$24-E$33</f>
        <v>56</v>
      </c>
      <c r="F32" s="169">
        <f t="shared" ca="1" si="8"/>
        <v>74</v>
      </c>
      <c r="G32" s="169">
        <f t="shared" ca="1" si="8"/>
        <v>57</v>
      </c>
      <c r="H32" s="169">
        <f t="shared" ca="1" si="8"/>
        <v>59</v>
      </c>
      <c r="I32" s="169">
        <f t="shared" ca="1" si="8"/>
        <v>58</v>
      </c>
      <c r="J32" s="169">
        <f t="shared" ca="1" si="8"/>
        <v>57</v>
      </c>
      <c r="K32" s="169">
        <f t="shared" ca="1" si="8"/>
        <v>54</v>
      </c>
      <c r="L32" s="169">
        <f t="shared" ca="1" si="8"/>
        <v>56</v>
      </c>
      <c r="M32" s="169">
        <f t="shared" ca="1" si="8"/>
        <v>60</v>
      </c>
      <c r="N32" s="169">
        <f t="shared" ca="1" si="8"/>
        <v>30</v>
      </c>
      <c r="O32" s="169">
        <f t="shared" ca="1" si="8"/>
        <v>28</v>
      </c>
      <c r="P32" s="169">
        <f t="shared" ca="1" si="8"/>
        <v>0</v>
      </c>
      <c r="Q32" s="169">
        <f t="shared" ca="1" si="8"/>
        <v>0</v>
      </c>
      <c r="R32" s="169">
        <f t="shared" ca="1" si="8"/>
        <v>0</v>
      </c>
    </row>
    <row r="33" spans="1:34" x14ac:dyDescent="0.2">
      <c r="A33" s="166" t="s">
        <v>29</v>
      </c>
      <c r="B33" s="164"/>
      <c r="C33" s="164"/>
      <c r="D33" s="165"/>
      <c r="E33" s="164">
        <f t="shared" ref="E33:R33" ca="1" si="9">IF(E$20&gt;TODAY(), #N/A, SUMIF(INDEX(Burndown,,(E$19-1)*BurndownColumns+StatusColumn), "=Complete",TotalEffort))</f>
        <v>0</v>
      </c>
      <c r="F33" s="164">
        <f t="shared" ca="1" si="9"/>
        <v>14</v>
      </c>
      <c r="G33" s="164">
        <f t="shared" ca="1" si="9"/>
        <v>48</v>
      </c>
      <c r="H33" s="164">
        <f t="shared" ca="1" si="9"/>
        <v>58</v>
      </c>
      <c r="I33" s="164">
        <f t="shared" ca="1" si="9"/>
        <v>71</v>
      </c>
      <c r="J33" s="164">
        <f t="shared" ca="1" si="9"/>
        <v>78</v>
      </c>
      <c r="K33" s="164">
        <f t="shared" ca="1" si="9"/>
        <v>84</v>
      </c>
      <c r="L33" s="164">
        <f t="shared" ca="1" si="9"/>
        <v>84</v>
      </c>
      <c r="M33" s="164">
        <f t="shared" ca="1" si="9"/>
        <v>84</v>
      </c>
      <c r="N33" s="164">
        <f t="shared" ca="1" si="9"/>
        <v>118</v>
      </c>
      <c r="O33" s="164">
        <f t="shared" ca="1" si="9"/>
        <v>122</v>
      </c>
      <c r="P33" s="164">
        <f t="shared" ca="1" si="9"/>
        <v>152</v>
      </c>
      <c r="Q33" s="164">
        <f t="shared" ca="1" si="9"/>
        <v>152</v>
      </c>
      <c r="R33" s="164">
        <f t="shared" ca="1" si="9"/>
        <v>152</v>
      </c>
    </row>
    <row r="34" spans="1:34" x14ac:dyDescent="0.2">
      <c r="A34" s="166"/>
      <c r="B34" s="164"/>
      <c r="C34" s="164"/>
      <c r="D34" s="165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</row>
    <row r="35" spans="1:34" x14ac:dyDescent="0.2">
      <c r="A35" s="166" t="s">
        <v>10</v>
      </c>
      <c r="B35" s="164"/>
      <c r="C35" s="164"/>
      <c r="D35" s="165"/>
      <c r="E35" s="164">
        <f t="shared" ref="E35:R35" ca="1" si="10">IF(E20&gt;TODAY(), #N/A, COUNTIF(INDEX(Burndown,,(E19-1)*BurndownColumns+StatusColumn), "=Pending"))</f>
        <v>60</v>
      </c>
      <c r="F35" s="164">
        <f t="shared" ca="1" si="10"/>
        <v>57</v>
      </c>
      <c r="G35" s="164">
        <f t="shared" ca="1" si="10"/>
        <v>53</v>
      </c>
      <c r="H35" s="164">
        <f t="shared" ca="1" si="10"/>
        <v>50</v>
      </c>
      <c r="I35" s="164">
        <f t="shared" ca="1" si="10"/>
        <v>46</v>
      </c>
      <c r="J35" s="164">
        <f t="shared" ca="1" si="10"/>
        <v>45</v>
      </c>
      <c r="K35" s="164">
        <f t="shared" ca="1" si="10"/>
        <v>44</v>
      </c>
      <c r="L35" s="164">
        <f t="shared" ca="1" si="10"/>
        <v>43</v>
      </c>
      <c r="M35" s="164">
        <f t="shared" ca="1" si="10"/>
        <v>41</v>
      </c>
      <c r="N35" s="164">
        <f t="shared" ca="1" si="10"/>
        <v>39</v>
      </c>
      <c r="O35" s="164">
        <f t="shared" ca="1" si="10"/>
        <v>38</v>
      </c>
      <c r="P35" s="164">
        <f t="shared" ca="1" si="10"/>
        <v>37</v>
      </c>
      <c r="Q35" s="164">
        <f t="shared" ca="1" si="10"/>
        <v>37</v>
      </c>
      <c r="R35" s="164">
        <f t="shared" ca="1" si="10"/>
        <v>37</v>
      </c>
    </row>
    <row r="36" spans="1:34" x14ac:dyDescent="0.2">
      <c r="A36" s="166" t="s">
        <v>6</v>
      </c>
      <c r="B36" s="164"/>
      <c r="C36" s="164"/>
      <c r="D36" s="165"/>
      <c r="E36" s="164">
        <f t="shared" ref="E36:R36" ca="1" si="11">IF(E20&gt;TODAY(), #N/A, COUNTIF(INDEX(Burndown,,(E19-1)*BurndownColumns+StatusColumn), "=In Progress"))</f>
        <v>3</v>
      </c>
      <c r="F36" s="164">
        <f t="shared" ca="1" si="11"/>
        <v>3</v>
      </c>
      <c r="G36" s="164">
        <f t="shared" ca="1" si="11"/>
        <v>3</v>
      </c>
      <c r="H36" s="164">
        <f t="shared" ca="1" si="11"/>
        <v>3</v>
      </c>
      <c r="I36" s="164">
        <f t="shared" ca="1" si="11"/>
        <v>3</v>
      </c>
      <c r="J36" s="164">
        <f t="shared" ca="1" si="11"/>
        <v>2</v>
      </c>
      <c r="K36" s="164">
        <f t="shared" ca="1" si="11"/>
        <v>2</v>
      </c>
      <c r="L36" s="164">
        <f t="shared" ca="1" si="11"/>
        <v>3</v>
      </c>
      <c r="M36" s="164">
        <f t="shared" ca="1" si="11"/>
        <v>5</v>
      </c>
      <c r="N36" s="164">
        <f t="shared" ca="1" si="11"/>
        <v>4</v>
      </c>
      <c r="O36" s="164">
        <f t="shared" ca="1" si="11"/>
        <v>3</v>
      </c>
      <c r="P36" s="164">
        <f t="shared" ca="1" si="11"/>
        <v>0</v>
      </c>
      <c r="Q36" s="164">
        <f t="shared" ca="1" si="11"/>
        <v>0</v>
      </c>
      <c r="R36" s="164">
        <f t="shared" ca="1" si="11"/>
        <v>0</v>
      </c>
    </row>
    <row r="37" spans="1:34" x14ac:dyDescent="0.2">
      <c r="A37" s="166" t="s">
        <v>7</v>
      </c>
      <c r="B37" s="164"/>
      <c r="C37" s="164"/>
      <c r="D37" s="165"/>
      <c r="E37" s="164">
        <f t="shared" ref="E37:R37" ca="1" si="12">IF(E20&gt;TODAY(), #N/A, COUNTIF(INDEX(Burndown,,(E19-1)*BurndownColumns+StatusColumn), "=Complete"))</f>
        <v>0</v>
      </c>
      <c r="F37" s="164">
        <f t="shared" ca="1" si="12"/>
        <v>3</v>
      </c>
      <c r="G37" s="164">
        <f t="shared" ca="1" si="12"/>
        <v>7</v>
      </c>
      <c r="H37" s="164">
        <f t="shared" ca="1" si="12"/>
        <v>10</v>
      </c>
      <c r="I37" s="164">
        <f t="shared" ca="1" si="12"/>
        <v>14</v>
      </c>
      <c r="J37" s="164">
        <f t="shared" ca="1" si="12"/>
        <v>15</v>
      </c>
      <c r="K37" s="164">
        <f t="shared" ca="1" si="12"/>
        <v>17</v>
      </c>
      <c r="L37" s="164">
        <f t="shared" ca="1" si="12"/>
        <v>17</v>
      </c>
      <c r="M37" s="164">
        <f t="shared" ca="1" si="12"/>
        <v>17</v>
      </c>
      <c r="N37" s="164">
        <f t="shared" ca="1" si="12"/>
        <v>20</v>
      </c>
      <c r="O37" s="164">
        <f t="shared" ca="1" si="12"/>
        <v>22</v>
      </c>
      <c r="P37" s="164">
        <f t="shared" ca="1" si="12"/>
        <v>26</v>
      </c>
      <c r="Q37" s="164">
        <f t="shared" ca="1" si="12"/>
        <v>26</v>
      </c>
      <c r="R37" s="164">
        <f t="shared" ca="1" si="12"/>
        <v>26</v>
      </c>
    </row>
    <row r="38" spans="1:34" x14ac:dyDescent="0.2">
      <c r="A38" s="149"/>
      <c r="B38" s="149"/>
      <c r="C38" s="149"/>
      <c r="D38" s="149"/>
      <c r="E38" s="149"/>
      <c r="F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</row>
    <row r="39" spans="1:34" x14ac:dyDescent="0.2">
      <c r="A39" s="166" t="s">
        <v>25</v>
      </c>
      <c r="B39" s="164"/>
      <c r="C39" s="164"/>
      <c r="D39" s="164"/>
      <c r="E39" s="161"/>
      <c r="F39" s="164"/>
      <c r="G39" s="166" t="s">
        <v>24</v>
      </c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</row>
    <row r="40" spans="1:34" ht="13.5" customHeight="1" x14ac:dyDescent="0.2">
      <c r="A40" s="166"/>
      <c r="B40" s="164" t="s">
        <v>26</v>
      </c>
      <c r="C40" s="164"/>
      <c r="D40" s="164"/>
      <c r="E40" s="164">
        <v>1</v>
      </c>
      <c r="F40" s="164"/>
      <c r="G40" s="164" t="s">
        <v>87</v>
      </c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149"/>
      <c r="W40" s="149"/>
      <c r="X40" s="149"/>
      <c r="Y40" s="149"/>
      <c r="Z40" s="149"/>
      <c r="AA40" s="149"/>
      <c r="AB40" s="149"/>
      <c r="AC40" s="149"/>
      <c r="AD40" s="149"/>
      <c r="AE40" s="149"/>
      <c r="AF40" s="149"/>
      <c r="AG40" s="149"/>
      <c r="AH40" s="149"/>
    </row>
    <row r="41" spans="1:34" ht="13.5" customHeight="1" x14ac:dyDescent="0.2">
      <c r="A41" s="166"/>
      <c r="B41" s="164" t="s">
        <v>88</v>
      </c>
      <c r="C41" s="164"/>
      <c r="D41" s="164"/>
      <c r="E41" s="164">
        <v>0</v>
      </c>
      <c r="F41" s="164"/>
      <c r="G41" s="164" t="s">
        <v>89</v>
      </c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49"/>
      <c r="T41" s="149"/>
      <c r="U41" s="149"/>
      <c r="V41" s="149"/>
      <c r="W41" s="149"/>
      <c r="X41" s="149"/>
      <c r="Y41" s="149"/>
      <c r="Z41" s="149"/>
      <c r="AA41" s="149"/>
      <c r="AB41" s="149"/>
      <c r="AC41" s="149"/>
      <c r="AD41" s="149"/>
      <c r="AE41" s="149"/>
      <c r="AF41" s="149"/>
      <c r="AG41" s="149"/>
      <c r="AH41" s="149"/>
    </row>
    <row r="42" spans="1:34" x14ac:dyDescent="0.2">
      <c r="A42" s="166"/>
      <c r="B42" s="164"/>
      <c r="C42" s="164"/>
      <c r="D42" s="164"/>
      <c r="E42" s="161"/>
      <c r="F42" s="164"/>
      <c r="G42" s="170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</row>
    <row r="43" spans="1:34" x14ac:dyDescent="0.2">
      <c r="A43" s="166" t="s">
        <v>17</v>
      </c>
      <c r="B43" s="164"/>
      <c r="C43" s="164"/>
      <c r="D43" s="164"/>
      <c r="E43" s="161"/>
      <c r="F43" s="164"/>
      <c r="G43" s="164"/>
      <c r="H43" s="149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  <c r="AG43" s="149"/>
      <c r="AH43" s="149"/>
    </row>
    <row r="44" spans="1:34" x14ac:dyDescent="0.2">
      <c r="A44" s="164"/>
      <c r="B44" s="164" t="s">
        <v>15</v>
      </c>
      <c r="C44" s="164"/>
      <c r="D44" s="164"/>
      <c r="E44" s="164">
        <v>3</v>
      </c>
      <c r="F44" s="164"/>
      <c r="G44" s="164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149"/>
      <c r="AE44" s="149"/>
      <c r="AF44" s="149"/>
      <c r="AG44" s="149"/>
      <c r="AH44" s="149"/>
    </row>
    <row r="45" spans="1:34" x14ac:dyDescent="0.2">
      <c r="A45" s="164"/>
      <c r="B45" s="164" t="s">
        <v>19</v>
      </c>
      <c r="C45" s="164"/>
      <c r="D45" s="164"/>
      <c r="E45" s="164">
        <v>1</v>
      </c>
      <c r="F45" s="164"/>
      <c r="G45" s="170"/>
      <c r="H45" s="149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  <c r="AC45" s="149"/>
      <c r="AD45" s="149"/>
      <c r="AE45" s="149"/>
      <c r="AF45" s="149"/>
      <c r="AG45" s="149"/>
      <c r="AH45" s="149"/>
    </row>
    <row r="46" spans="1:34" x14ac:dyDescent="0.2">
      <c r="A46" s="164"/>
      <c r="B46" s="164" t="s">
        <v>18</v>
      </c>
      <c r="C46" s="164"/>
      <c r="D46" s="164"/>
      <c r="E46" s="164">
        <v>2</v>
      </c>
      <c r="F46" s="170"/>
      <c r="G46" s="170"/>
    </row>
    <row r="47" spans="1:34" x14ac:dyDescent="0.2">
      <c r="A47" s="164"/>
      <c r="B47" s="164" t="s">
        <v>16</v>
      </c>
      <c r="C47" s="164"/>
      <c r="D47" s="164"/>
      <c r="E47" s="164">
        <v>3</v>
      </c>
      <c r="F47" s="170"/>
      <c r="G47" s="170"/>
    </row>
    <row r="48" spans="1:34" x14ac:dyDescent="0.2">
      <c r="A48" s="149"/>
      <c r="C48" s="149"/>
      <c r="D48" s="149"/>
    </row>
    <row r="49" spans="1:1" x14ac:dyDescent="0.2">
      <c r="A49" s="150"/>
    </row>
    <row r="50" spans="1:1" x14ac:dyDescent="0.2">
      <c r="A50" s="149"/>
    </row>
    <row r="51" spans="1:1" x14ac:dyDescent="0.2">
      <c r="A51" s="149"/>
    </row>
  </sheetData>
  <phoneticPr fontId="2" type="noConversion"/>
  <conditionalFormatting sqref="D19:R21">
    <cfRule type="expression" dxfId="409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28" sqref="B28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1" t="s">
        <v>104</v>
      </c>
      <c r="B1" s="172"/>
    </row>
    <row r="2" spans="1:3" ht="15" x14ac:dyDescent="0.25">
      <c r="A2" s="173" t="s">
        <v>105</v>
      </c>
      <c r="B2" s="174">
        <f>COUNTIF(Sprint!$A$4:$A$97, "Feature")</f>
        <v>22</v>
      </c>
      <c r="C2" s="180">
        <f>B2/$B$6</f>
        <v>0.84615384615384615</v>
      </c>
    </row>
    <row r="3" spans="1:3" ht="15" x14ac:dyDescent="0.25">
      <c r="A3" s="173" t="s">
        <v>106</v>
      </c>
      <c r="B3" s="174">
        <f>COUNTIF(Sprint!$A$4:$A$97, "Tax")</f>
        <v>0</v>
      </c>
      <c r="C3" s="180">
        <f t="shared" ref="C3:C5" si="0">B3/$B$6</f>
        <v>0</v>
      </c>
    </row>
    <row r="4" spans="1:3" ht="15" x14ac:dyDescent="0.25">
      <c r="A4" s="173" t="s">
        <v>107</v>
      </c>
      <c r="B4" s="174">
        <f>COUNTIF(Sprint!$A$4:$A$97, "Precondition")</f>
        <v>4</v>
      </c>
      <c r="C4" s="180">
        <f t="shared" si="0"/>
        <v>0.15384615384615385</v>
      </c>
    </row>
    <row r="5" spans="1:3" ht="15" x14ac:dyDescent="0.25">
      <c r="A5" s="173" t="s">
        <v>108</v>
      </c>
      <c r="B5" s="174">
        <f>COUNTIF(Sprint!$A$4:$A$97, "Spike")</f>
        <v>0</v>
      </c>
      <c r="C5" s="180">
        <f t="shared" si="0"/>
        <v>0</v>
      </c>
    </row>
    <row r="6" spans="1:3" ht="15" x14ac:dyDescent="0.25">
      <c r="A6" s="175" t="s">
        <v>123</v>
      </c>
      <c r="B6" s="181">
        <f>SUM(B2:B5)</f>
        <v>26</v>
      </c>
      <c r="C6" s="182">
        <f>SUM(C2:C5)</f>
        <v>1</v>
      </c>
    </row>
    <row r="7" spans="1:3" ht="15" x14ac:dyDescent="0.25">
      <c r="A7" s="174"/>
      <c r="B7" s="174"/>
    </row>
    <row r="8" spans="1:3" ht="15" x14ac:dyDescent="0.25">
      <c r="A8" s="175" t="s">
        <v>109</v>
      </c>
      <c r="B8" s="174"/>
    </row>
    <row r="9" spans="1:3" ht="15" x14ac:dyDescent="0.25">
      <c r="A9" s="173" t="s">
        <v>110</v>
      </c>
      <c r="B9" s="174">
        <f>COUNTIF(Sprint!$B$4:$B$214, "Data Model")</f>
        <v>0</v>
      </c>
      <c r="C9" s="180">
        <f>B9/$B$25</f>
        <v>0</v>
      </c>
    </row>
    <row r="10" spans="1:3" ht="15" x14ac:dyDescent="0.25">
      <c r="A10" s="173" t="s">
        <v>111</v>
      </c>
      <c r="B10" s="174">
        <f>COUNTIF(Sprint!$B$4:$B$214, "Integration Model")</f>
        <v>0</v>
      </c>
      <c r="C10" s="180">
        <f>B10/$B$25</f>
        <v>0</v>
      </c>
    </row>
    <row r="11" spans="1:3" ht="15" x14ac:dyDescent="0.25">
      <c r="A11" s="173" t="s">
        <v>141</v>
      </c>
      <c r="B11" s="174">
        <f>COUNTIF(Sprint!$B$4:$B$214, "System Frameworks")</f>
        <v>0</v>
      </c>
      <c r="C11" s="180">
        <f>B11/$B$25</f>
        <v>0</v>
      </c>
    </row>
    <row r="12" spans="1:3" ht="15" x14ac:dyDescent="0.25">
      <c r="A12" s="173" t="s">
        <v>112</v>
      </c>
      <c r="B12" s="174">
        <f>COUNTIF(Sprint!$B$4:$B$214, "Data Conversions")</f>
        <v>0</v>
      </c>
      <c r="C12" s="180">
        <f t="shared" ref="C12:C24" si="1">B12/$B$25</f>
        <v>0</v>
      </c>
    </row>
    <row r="13" spans="1:3" ht="15" x14ac:dyDescent="0.25">
      <c r="A13" s="173" t="s">
        <v>113</v>
      </c>
      <c r="B13" s="174">
        <f>COUNTIF(Sprint!$B$4:$B$214, "Security")</f>
        <v>0</v>
      </c>
      <c r="C13" s="180">
        <f t="shared" si="1"/>
        <v>0</v>
      </c>
    </row>
    <row r="14" spans="1:3" ht="15" x14ac:dyDescent="0.25">
      <c r="A14" s="173" t="s">
        <v>137</v>
      </c>
      <c r="B14" s="174">
        <f>COUNTIF(Sprint!$B$4:$B$214, "Cash Payment Tracking")</f>
        <v>0</v>
      </c>
      <c r="C14" s="180">
        <f t="shared" si="1"/>
        <v>0</v>
      </c>
    </row>
    <row r="15" spans="1:3" ht="15" x14ac:dyDescent="0.25">
      <c r="A15" s="173" t="s">
        <v>114</v>
      </c>
      <c r="B15" s="174">
        <f>COUNTIF(Sprint!$B$4:$B$214, "Views")</f>
        <v>0</v>
      </c>
      <c r="C15" s="180">
        <f t="shared" si="1"/>
        <v>0</v>
      </c>
    </row>
    <row r="16" spans="1:3" ht="15" x14ac:dyDescent="0.25">
      <c r="A16" s="173" t="s">
        <v>119</v>
      </c>
      <c r="B16" s="174">
        <f>COUNTIF(Sprint!$B$4:$B$214, "Lookups")</f>
        <v>0</v>
      </c>
      <c r="C16" s="180">
        <f t="shared" si="1"/>
        <v>0</v>
      </c>
    </row>
    <row r="17" spans="1:3" ht="15" x14ac:dyDescent="0.25">
      <c r="A17" s="173" t="s">
        <v>115</v>
      </c>
      <c r="B17" s="174">
        <f>COUNTIF(Sprint!$B$4:$B$214, "Detail screens")</f>
        <v>0</v>
      </c>
      <c r="C17" s="180">
        <f t="shared" si="1"/>
        <v>0</v>
      </c>
    </row>
    <row r="18" spans="1:3" ht="15" x14ac:dyDescent="0.25">
      <c r="A18" s="173" t="s">
        <v>116</v>
      </c>
      <c r="B18" s="174">
        <f>COUNTIF(Sprint!$B$4:$B$214, "Notifications")</f>
        <v>0</v>
      </c>
      <c r="C18" s="180">
        <f t="shared" si="1"/>
        <v>0</v>
      </c>
    </row>
    <row r="19" spans="1:3" ht="15" x14ac:dyDescent="0.25">
      <c r="A19" s="173" t="s">
        <v>117</v>
      </c>
      <c r="B19" s="174">
        <f>COUNTIF(Sprint!$B$4:$B$214, "Reports")</f>
        <v>0</v>
      </c>
      <c r="C19" s="180">
        <f t="shared" si="1"/>
        <v>0</v>
      </c>
    </row>
    <row r="20" spans="1:3" ht="15" x14ac:dyDescent="0.25">
      <c r="A20" s="173" t="s">
        <v>118</v>
      </c>
      <c r="B20" s="174">
        <f>COUNTIF(Sprint!$B$4:$B$214, "Installation Package")</f>
        <v>0</v>
      </c>
      <c r="C20" s="180">
        <f t="shared" si="1"/>
        <v>0</v>
      </c>
    </row>
    <row r="21" spans="1:3" ht="15" x14ac:dyDescent="0.25">
      <c r="A21" s="173" t="s">
        <v>143</v>
      </c>
      <c r="B21" s="174">
        <f>COUNTIF(Sprint!$B$4:$B$214, "Deployment")</f>
        <v>0</v>
      </c>
      <c r="C21" s="180">
        <f t="shared" si="1"/>
        <v>0</v>
      </c>
    </row>
    <row r="22" spans="1:3" ht="15" x14ac:dyDescent="0.25">
      <c r="A22" s="173" t="s">
        <v>139</v>
      </c>
      <c r="B22" s="174">
        <f>COUNTIF(Sprint!$B$4:$B$214, "Documentation")</f>
        <v>0</v>
      </c>
      <c r="C22" s="180">
        <f t="shared" si="1"/>
        <v>0</v>
      </c>
    </row>
    <row r="23" spans="1:3" ht="15" x14ac:dyDescent="0.25">
      <c r="A23" s="173" t="s">
        <v>140</v>
      </c>
      <c r="B23" s="174">
        <f>COUNTIF(Sprint!$B$4:$B$214, "Testing")</f>
        <v>0</v>
      </c>
      <c r="C23" s="180">
        <f t="shared" si="1"/>
        <v>0</v>
      </c>
    </row>
    <row r="24" spans="1:3" ht="15" x14ac:dyDescent="0.25">
      <c r="A24" s="173" t="s">
        <v>120</v>
      </c>
      <c r="B24" s="174">
        <f>COUNTIF(Sprint!$B$4:$B$214, "Project Mgt")</f>
        <v>3</v>
      </c>
      <c r="C24" s="180">
        <f t="shared" si="1"/>
        <v>1</v>
      </c>
    </row>
    <row r="25" spans="1:3" ht="15" x14ac:dyDescent="0.25">
      <c r="A25" s="175" t="s">
        <v>123</v>
      </c>
      <c r="B25" s="179">
        <f>SUM(B9:B24)</f>
        <v>3</v>
      </c>
      <c r="C25" s="180">
        <f>SUM(C9:C24)</f>
        <v>1</v>
      </c>
    </row>
    <row r="27" spans="1:3" ht="15" x14ac:dyDescent="0.25">
      <c r="A27" s="178" t="s">
        <v>122</v>
      </c>
    </row>
    <row r="28" spans="1:3" ht="15" x14ac:dyDescent="0.25">
      <c r="A28" s="173" t="s">
        <v>124</v>
      </c>
      <c r="B28" s="174">
        <f ca="1">COUNTIF(Sprint!$G$4:$G$97, "Complete")</f>
        <v>0</v>
      </c>
      <c r="C28" s="180" t="e">
        <f ca="1">B28/$B$33</f>
        <v>#DIV/0!</v>
      </c>
    </row>
    <row r="29" spans="1:3" ht="15" x14ac:dyDescent="0.25">
      <c r="A29" s="173" t="s">
        <v>125</v>
      </c>
      <c r="B29" s="174">
        <f ca="1">COUNTIF(Sprint!$G$4:$G$97, "In Progress")</f>
        <v>0</v>
      </c>
      <c r="C29" s="180" t="e">
        <f t="shared" ref="C29:C32" ca="1" si="2">B29/$B$33</f>
        <v>#DIV/0!</v>
      </c>
    </row>
    <row r="30" spans="1:3" ht="15" x14ac:dyDescent="0.25">
      <c r="A30" s="173" t="s">
        <v>126</v>
      </c>
      <c r="B30" s="174">
        <f ca="1">COUNTIF(Sprint!$G$4:$G$97, "Pending")</f>
        <v>0</v>
      </c>
      <c r="C30" s="180" t="e">
        <f t="shared" ca="1" si="2"/>
        <v>#DIV/0!</v>
      </c>
    </row>
    <row r="31" spans="1:3" ht="15" x14ac:dyDescent="0.25">
      <c r="A31" s="173" t="s">
        <v>121</v>
      </c>
      <c r="B31" s="174">
        <f ca="1">COUNTIF(Sprint!$G$4:$G$97, "Postponed")</f>
        <v>0</v>
      </c>
      <c r="C31" s="180" t="e">
        <f t="shared" ca="1" si="2"/>
        <v>#DIV/0!</v>
      </c>
    </row>
    <row r="32" spans="1:3" ht="15" x14ac:dyDescent="0.25">
      <c r="A32" s="178" t="s">
        <v>127</v>
      </c>
      <c r="B32" s="174">
        <f ca="1">COUNTIF(Sprint!$G$4:$G$97, "Cancelled")</f>
        <v>0</v>
      </c>
      <c r="C32" s="180" t="e">
        <f t="shared" ca="1" si="2"/>
        <v>#DIV/0!</v>
      </c>
    </row>
    <row r="33" spans="1:3" ht="15" x14ac:dyDescent="0.25">
      <c r="A33" s="183" t="s">
        <v>123</v>
      </c>
      <c r="B33" s="184">
        <f ca="1">SUM(B28:B32)</f>
        <v>0</v>
      </c>
      <c r="C33" s="185" t="e">
        <f ca="1">SUM(C28:C32)</f>
        <v>#DIV/0!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CE76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W72" sqref="W72"/>
    </sheetView>
  </sheetViews>
  <sheetFormatPr defaultRowHeight="12.75" outlineLevelCol="1" x14ac:dyDescent="0.2"/>
  <cols>
    <col min="1" max="1" width="12.140625" style="6" customWidth="1"/>
    <col min="2" max="2" width="18.140625" style="6" customWidth="1"/>
    <col min="3" max="3" width="12.140625" style="6" customWidth="1"/>
    <col min="4" max="4" width="6" style="6" customWidth="1"/>
    <col min="5" max="5" width="38.85546875" style="6" customWidth="1"/>
    <col min="6" max="6" width="9" style="6" bestFit="1" customWidth="1"/>
    <col min="7" max="7" width="7.5703125" style="6" bestFit="1" customWidth="1"/>
    <col min="8" max="8" width="5.28515625" style="6" bestFit="1" customWidth="1"/>
    <col min="9" max="9" width="4.28515625" style="6" customWidth="1"/>
    <col min="10" max="11" width="3.28515625" style="158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customWidth="1" outlineLevel="1"/>
    <col min="54" max="54" width="2.42578125" style="6" customWidth="1" outlineLevel="1"/>
    <col min="55" max="56" width="3.28515625" style="6" customWidth="1" outlineLevel="1"/>
    <col min="57" max="57" width="2.42578125" style="6" customWidth="1" outlineLevel="1"/>
    <col min="58" max="59" width="3.28515625" style="6" customWidth="1" outlineLevel="1"/>
    <col min="60" max="60" width="2.42578125" style="6" customWidth="1" outlineLevel="1"/>
    <col min="61" max="62" width="3.28515625" style="6" customWidth="1" outlineLevel="1"/>
    <col min="63" max="63" width="2.42578125" style="6" customWidth="1" outlineLevel="1"/>
    <col min="64" max="65" width="3.28515625" style="6" customWidth="1" outlineLevel="1"/>
    <col min="66" max="66" width="2.42578125" style="6" customWidth="1" outlineLevel="1"/>
    <col min="67" max="68" width="3.28515625" style="6" customWidth="1" outlineLevel="1"/>
    <col min="69" max="69" width="2.42578125" style="6" customWidth="1" outlineLevel="1"/>
    <col min="70" max="71" width="3.28515625" style="6" customWidth="1" outlineLevel="1"/>
    <col min="72" max="72" width="2.42578125" style="6" customWidth="1" outlineLevel="1"/>
    <col min="73" max="74" width="3.28515625" style="6" customWidth="1" outlineLevel="1"/>
    <col min="75" max="75" width="2.42578125" style="6" customWidth="1" outlineLevel="1"/>
    <col min="76" max="77" width="3.28515625" style="6" customWidth="1" outlineLevel="1"/>
    <col min="78" max="78" width="2.42578125" style="6" customWidth="1" outlineLevel="1"/>
    <col min="79" max="80" width="3.28515625" style="6" customWidth="1" outlineLevel="1"/>
    <col min="81" max="81" width="2.42578125" style="6" customWidth="1" outlineLevel="1"/>
    <col min="82" max="82" width="2.42578125" style="6" customWidth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42310</v>
      </c>
      <c r="H1" s="1"/>
      <c r="I1" s="1"/>
      <c r="J1" s="200">
        <f>SprintStart</f>
        <v>42310</v>
      </c>
      <c r="K1" s="200"/>
      <c r="L1" s="200"/>
      <c r="M1" s="200">
        <f>IF(AND(SkipWeekends, WEEKDAY(J1)=6),J1+3, J1+1)</f>
        <v>42311</v>
      </c>
      <c r="N1" s="200"/>
      <c r="O1" s="200"/>
      <c r="P1" s="200">
        <f>IF(AND(SkipWeekends, WEEKDAY(M1)=6),M1+3, M1+1)</f>
        <v>42312</v>
      </c>
      <c r="Q1" s="200"/>
      <c r="R1" s="200"/>
      <c r="S1" s="200">
        <f>IF(AND(SkipWeekends, WEEKDAY(P1)=6),P1+3, P1+1)</f>
        <v>42313</v>
      </c>
      <c r="T1" s="200"/>
      <c r="U1" s="200"/>
      <c r="V1" s="200">
        <f>IF(AND(SkipWeekends, WEEKDAY(S1)=6),S1+3, S1+1)</f>
        <v>42314</v>
      </c>
      <c r="W1" s="200"/>
      <c r="X1" s="200"/>
      <c r="Y1" s="200">
        <f>IF(AND(SkipWeekends, WEEKDAY(V1)=6),V1+3, V1+1)</f>
        <v>42317</v>
      </c>
      <c r="Z1" s="200"/>
      <c r="AA1" s="200"/>
      <c r="AB1" s="200">
        <f>IF(AND(SkipWeekends, WEEKDAY(Y1)=6),Y1+3, Y1+1)</f>
        <v>42318</v>
      </c>
      <c r="AC1" s="200"/>
      <c r="AD1" s="200"/>
      <c r="AE1" s="200">
        <f>IF(AND(SkipWeekends, WEEKDAY(AB1)=6),AB1+3, AB1+1)</f>
        <v>42319</v>
      </c>
      <c r="AF1" s="200"/>
      <c r="AG1" s="200"/>
      <c r="AH1" s="200">
        <f>IF(AND(SkipWeekends, WEEKDAY(AE1)=6),AE1+3, AE1+1)</f>
        <v>42320</v>
      </c>
      <c r="AI1" s="200"/>
      <c r="AJ1" s="200"/>
      <c r="AK1" s="200">
        <f>IF(AND(SkipWeekends, WEEKDAY(AH1)=6),AH1+3, AH1+1)</f>
        <v>42321</v>
      </c>
      <c r="AL1" s="200"/>
      <c r="AM1" s="200"/>
      <c r="AN1" s="200">
        <f>IF(AND(SkipWeekends, WEEKDAY(AK1)=6),AK1+3, AK1+1)</f>
        <v>42324</v>
      </c>
      <c r="AO1" s="200"/>
      <c r="AP1" s="200"/>
      <c r="AQ1" s="200">
        <f>IF(AND(SkipWeekends, WEEKDAY(AN1)=6),AN1+3, AN1+1)</f>
        <v>42325</v>
      </c>
      <c r="AR1" s="200"/>
      <c r="AS1" s="200"/>
      <c r="AT1" s="200">
        <f>IF(AND(SkipWeekends, WEEKDAY(AQ1)=6),AQ1+3, AQ1+1)</f>
        <v>42326</v>
      </c>
      <c r="AU1" s="200"/>
      <c r="AV1" s="200"/>
      <c r="AW1" s="200">
        <f>IF(AND(SkipWeekends, WEEKDAY(AT1)=6),AT1+3, AT1+1)</f>
        <v>42327</v>
      </c>
      <c r="AX1" s="200"/>
      <c r="AY1" s="200"/>
      <c r="AZ1" s="200">
        <f>IF(AND(SkipWeekends, WEEKDAY(AW1)=6),AW1+3,AW1+ 1)</f>
        <v>42328</v>
      </c>
      <c r="BA1" s="200"/>
      <c r="BB1" s="200"/>
      <c r="BC1" s="200">
        <f>IF(AND(SkipWeekends, WEEKDAY(AZ1)=6),AZ1+3, AZ1+1)</f>
        <v>42331</v>
      </c>
      <c r="BD1" s="200"/>
      <c r="BE1" s="200"/>
      <c r="BF1" s="200">
        <f>IF(AND(SkipWeekends, WEEKDAY(BC1)=6),BC1+3, BC1+1)</f>
        <v>42332</v>
      </c>
      <c r="BG1" s="200"/>
      <c r="BH1" s="200"/>
      <c r="BI1" s="200">
        <f>IF(AND(SkipWeekends, WEEKDAY(BF1)=6),BF1+3, BF1+1)</f>
        <v>42333</v>
      </c>
      <c r="BJ1" s="200"/>
      <c r="BK1" s="200"/>
      <c r="BL1" s="200">
        <f>IF(AND(SkipWeekends, WEEKDAY(BI1)=6),BI1+3, BI1+1)</f>
        <v>42334</v>
      </c>
      <c r="BM1" s="200"/>
      <c r="BN1" s="200"/>
      <c r="BO1" s="200">
        <f>IF(AND(SkipWeekends, WEEKDAY(BL1)=6),BL1+3, BL1+1)</f>
        <v>42335</v>
      </c>
      <c r="BP1" s="200"/>
      <c r="BQ1" s="200"/>
      <c r="BR1" s="200">
        <f>IF(AND(SkipWeekends, WEEKDAY(BO1)=6),BO1+3, BO1+1)</f>
        <v>42338</v>
      </c>
      <c r="BS1" s="200"/>
      <c r="BT1" s="200"/>
      <c r="BU1" s="200">
        <f>IF(AND(SkipWeekends, WEEKDAY(BR1)=6),BR1+3, BR1+1)</f>
        <v>42339</v>
      </c>
      <c r="BV1" s="200"/>
      <c r="BW1" s="200"/>
      <c r="BX1" s="200">
        <f>IF(AND(SkipWeekends, WEEKDAY(BU1)=6),BU1+3, BU1+1)</f>
        <v>42340</v>
      </c>
      <c r="BY1" s="200"/>
      <c r="BZ1" s="200"/>
      <c r="CA1" s="200">
        <f>IF(AND(SkipWeekends, WEEKDAY(BX1)=6),BX1+3, BX1+1)</f>
        <v>42341</v>
      </c>
      <c r="CB1" s="200"/>
      <c r="CC1" s="200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1"/>
      <c r="K2" s="151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2" t="s">
        <v>12</v>
      </c>
      <c r="K3" s="153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ht="12.75" customHeight="1" x14ac:dyDescent="0.2">
      <c r="A4" s="16" t="s">
        <v>107</v>
      </c>
      <c r="B4" s="16" t="s">
        <v>135</v>
      </c>
      <c r="C4" s="16"/>
      <c r="D4" s="17"/>
      <c r="E4" s="177" t="s">
        <v>145</v>
      </c>
      <c r="F4" s="18" t="s">
        <v>129</v>
      </c>
      <c r="G4" s="19" t="s">
        <v>164</v>
      </c>
      <c r="H4" s="20">
        <v>1</v>
      </c>
      <c r="I4" s="21">
        <v>6</v>
      </c>
      <c r="J4" s="22">
        <v>4</v>
      </c>
      <c r="K4" s="22">
        <f t="shared" ref="K4" si="0">MAX(I4-J4, 0)</f>
        <v>2</v>
      </c>
      <c r="L4" s="23" t="str">
        <f>IF(SUMPRODUCT($J$69:K$69,$J4:K4)&lt;0.5, "Pending", IF(K4&lt;0.5, "Complete", "In Progress"))</f>
        <v>In Progress</v>
      </c>
      <c r="M4" s="22">
        <v>2</v>
      </c>
      <c r="N4" s="22">
        <f t="shared" ref="N4" si="1">MAX(K4-M4,0)</f>
        <v>0</v>
      </c>
      <c r="O4" s="23" t="str">
        <f>IF(SUMPRODUCT($J$69:N$69,$J4:N4)&lt;0.5, "Pending", IF(N4&lt;0.5, "Complete", "In Progress"))</f>
        <v>Complete</v>
      </c>
      <c r="P4" s="22">
        <v>0</v>
      </c>
      <c r="Q4" s="22">
        <f t="shared" ref="Q4" si="2">MAX(N4-P4,0)</f>
        <v>0</v>
      </c>
      <c r="R4" s="23" t="str">
        <f>IF(SUMPRODUCT($J$69:Q$69,$J4:Q4)&lt;0.5, "Pending", IF(Q4&lt;0.5, "Complete", "In Progress"))</f>
        <v>Complete</v>
      </c>
      <c r="S4" s="22">
        <v>0</v>
      </c>
      <c r="T4" s="22">
        <f t="shared" ref="T4" si="3">MAX(Q4-S4,0)</f>
        <v>0</v>
      </c>
      <c r="U4" s="23" t="str">
        <f>IF(SUMPRODUCT($J$69:T$69,$J4:T4)&lt;0.5, "Pending", IF(T4&lt;0.5, "Complete", "In Progress"))</f>
        <v>Complete</v>
      </c>
      <c r="V4" s="22">
        <v>0</v>
      </c>
      <c r="W4" s="22">
        <f t="shared" ref="W4" si="4">MAX(T4-V4,0)</f>
        <v>0</v>
      </c>
      <c r="X4" s="23" t="str">
        <f>IF(SUMPRODUCT($J$69:W$69,$J4:W4)&lt;0.5, "Pending", IF(W4&lt;0.5, "Complete", "In Progress"))</f>
        <v>Complete</v>
      </c>
      <c r="Y4" s="22">
        <v>0</v>
      </c>
      <c r="Z4" s="22">
        <f t="shared" ref="Z4" si="5">MAX(W4-Y4,0)</f>
        <v>0</v>
      </c>
      <c r="AA4" s="23" t="str">
        <f>IF(SUMPRODUCT($J$69:Z$69,$J4:Z4)&lt;0.5, "Pending", IF(Z4&lt;0.5, "Complete", "In Progress"))</f>
        <v>Complete</v>
      </c>
      <c r="AB4" s="22">
        <v>0</v>
      </c>
      <c r="AC4" s="22">
        <f t="shared" ref="AC4" si="6">MAX(Z4-AB4,0)</f>
        <v>0</v>
      </c>
      <c r="AD4" s="23" t="str">
        <f>IF(SUMPRODUCT($J$69:AC$69,$J4:AC4)&lt;0.5, "Pending", IF(AC4&lt;0.5, "Complete", "In Progress"))</f>
        <v>Complete</v>
      </c>
      <c r="AE4" s="22">
        <v>0</v>
      </c>
      <c r="AF4" s="22">
        <f t="shared" ref="AF4" si="7">MAX(AC4-AE4,0)</f>
        <v>0</v>
      </c>
      <c r="AG4" s="23" t="str">
        <f>IF(SUMPRODUCT($J$69:AF$69,$J4:AF4)&lt;0.5, "Pending", IF(AF4&lt;0.5, "Complete", "In Progress"))</f>
        <v>Complete</v>
      </c>
      <c r="AH4" s="22">
        <v>0</v>
      </c>
      <c r="AI4" s="22">
        <f t="shared" ref="AI4" si="8">MAX(AF4-AH4,0)</f>
        <v>0</v>
      </c>
      <c r="AJ4" s="23" t="str">
        <f>IF(SUMPRODUCT($J$69:AI$69,$J4:AI4)&lt;0.5, "Pending", IF(AI4&lt;0.5, "Complete", "In Progress"))</f>
        <v>Complete</v>
      </c>
      <c r="AK4" s="22">
        <v>0</v>
      </c>
      <c r="AL4" s="22">
        <f t="shared" ref="AL4" si="9">MAX(AI4-AK4,0)</f>
        <v>0</v>
      </c>
      <c r="AM4" s="23" t="str">
        <f>IF(SUMPRODUCT($J$69:AL$69,$J4:AL4)&lt;0.5, "Pending", IF(AL4&lt;0.5, "Complete", "In Progress"))</f>
        <v>Complete</v>
      </c>
      <c r="AN4" s="22">
        <v>0</v>
      </c>
      <c r="AO4" s="22">
        <f t="shared" ref="AO4" si="10">MAX(AL4-AN4,0)</f>
        <v>0</v>
      </c>
      <c r="AP4" s="23" t="str">
        <f>IF(SUMPRODUCT($J$69:AO$69,$J4:AO4)&lt;0.5, "Pending", IF(AO4&lt;0.5, "Complete", "In Progress"))</f>
        <v>Complete</v>
      </c>
      <c r="AQ4" s="22">
        <v>0</v>
      </c>
      <c r="AR4" s="22">
        <f t="shared" ref="AR4" si="11">MAX(AO4-AQ4,0)</f>
        <v>0</v>
      </c>
      <c r="AS4" s="23" t="str">
        <f>IF(SUMPRODUCT($J$69:AR$69,$J4:AR4)&lt;0.5, "Pending", IF(AR4&lt;0.5, "Complete", "In Progress"))</f>
        <v>Complete</v>
      </c>
      <c r="AT4" s="22">
        <v>0</v>
      </c>
      <c r="AU4" s="22">
        <f t="shared" ref="AU4" si="12">MAX(AR4-AT4,0)</f>
        <v>0</v>
      </c>
      <c r="AV4" s="23" t="str">
        <f>IF(SUMPRODUCT($J$69:AU$69,$J4:AU4)&lt;0.5, "Pending", IF(AU4&lt;0.5, "Complete", "In Progress"))</f>
        <v>Complete</v>
      </c>
      <c r="AW4" s="22">
        <v>0</v>
      </c>
      <c r="AX4" s="22">
        <f t="shared" ref="AX4" si="13">MAX(AU4-AW4,0)</f>
        <v>0</v>
      </c>
      <c r="AY4" s="23" t="str">
        <f>IF(SUMPRODUCT($J$69:AX$69,$J4:AX4)&lt;0.5, "Pending", IF(AX4&lt;0.5, "Complete", "In Progress"))</f>
        <v>Complete</v>
      </c>
      <c r="AZ4" s="22">
        <v>0</v>
      </c>
      <c r="BA4" s="22">
        <f>MAX(AX4-AZ4,0)</f>
        <v>0</v>
      </c>
      <c r="BB4" s="23" t="str">
        <f>IF(SUMPRODUCT($J$69:BA$69,$J4:BA4)&lt;0.5, "Pending", IF(BA4&lt;0.5, "Complete", "In Progress"))</f>
        <v>Complete</v>
      </c>
      <c r="BC4" s="22">
        <v>0</v>
      </c>
      <c r="BD4" s="22">
        <f t="shared" ref="BD4" si="14">MAX(BA4-BC4,0)</f>
        <v>0</v>
      </c>
      <c r="BE4" s="23" t="str">
        <f>IF(SUMPRODUCT($J$69:BD$69,$J4:BD4)&lt;0.5, "Pending", IF(BD4&lt;0.5, "Complete", "In Progress"))</f>
        <v>Complete</v>
      </c>
      <c r="BF4" s="22">
        <v>0</v>
      </c>
      <c r="BG4" s="22">
        <f t="shared" ref="BG4" si="15">MAX(BD4-BF4,0)</f>
        <v>0</v>
      </c>
      <c r="BH4" s="23" t="str">
        <f>IF(SUMPRODUCT($J$69:BG$69,$J4:BG4)&lt;0.5, "Pending", IF(BG4&lt;0.5, "Complete", "In Progress"))</f>
        <v>Complete</v>
      </c>
      <c r="BI4" s="22">
        <v>0</v>
      </c>
      <c r="BJ4" s="22">
        <f t="shared" ref="BJ4" si="16">MAX(BG4-BI4,0)</f>
        <v>0</v>
      </c>
      <c r="BK4" s="23" t="str">
        <f>IF(SUMPRODUCT($J$69:BJ$69,$J4:BJ4)&lt;0.5, "Pending", IF(BJ4&lt;0.5, "Complete", "In Progress"))</f>
        <v>Complete</v>
      </c>
      <c r="BL4" s="22">
        <v>0</v>
      </c>
      <c r="BM4" s="22">
        <f t="shared" ref="BM4" si="17">MAX(BJ4-BL4,0)</f>
        <v>0</v>
      </c>
      <c r="BN4" s="23" t="str">
        <f>IF(SUMPRODUCT($J$69:BM$69,$J4:BM4)&lt;0.5, "Pending", IF(BM4&lt;0.5, "Complete", "In Progress"))</f>
        <v>Complete</v>
      </c>
      <c r="BO4" s="22">
        <v>0</v>
      </c>
      <c r="BP4" s="22">
        <f t="shared" ref="BP4" si="18">MAX(BM4-BO4,0)</f>
        <v>0</v>
      </c>
      <c r="BQ4" s="23" t="str">
        <f>IF(SUMPRODUCT($J$69:BP$69,$J4:BP4)&lt;0.5, "Pending", IF(BP4&lt;0.5, "Complete", "In Progress"))</f>
        <v>Complete</v>
      </c>
      <c r="BR4" s="22">
        <v>0</v>
      </c>
      <c r="BS4" s="22">
        <f t="shared" ref="BS4" si="19">MAX(BP4-BR4,0)</f>
        <v>0</v>
      </c>
      <c r="BT4" s="23" t="str">
        <f>IF(SUMPRODUCT($J$69:BS$69,$J4:BS4)&lt;0.5, "Pending", IF(BS4&lt;0.5, "Complete", "In Progress"))</f>
        <v>Complete</v>
      </c>
      <c r="BU4" s="22">
        <v>0</v>
      </c>
      <c r="BV4" s="22">
        <f t="shared" ref="BV4" si="20">MAX(BS4-BU4,0)</f>
        <v>0</v>
      </c>
      <c r="BW4" s="23" t="str">
        <f>IF(SUMPRODUCT($J$69:BV$69,$J4:BV4)&lt;0.5, "Pending", IF(BV4&lt;0.5, "Complete", "In Progress"))</f>
        <v>Complete</v>
      </c>
      <c r="BX4" s="22">
        <v>0</v>
      </c>
      <c r="BY4" s="22">
        <f t="shared" ref="BY4" si="21">MAX(BV4-BX4,0)</f>
        <v>0</v>
      </c>
      <c r="BZ4" s="23" t="str">
        <f>IF(SUMPRODUCT($J$69:BY$69,$J4:BY4)&lt;0.5, "Pending", IF(BY4&lt;0.5, "Complete", "In Progress"))</f>
        <v>Complete</v>
      </c>
      <c r="CA4" s="22">
        <v>0</v>
      </c>
      <c r="CB4" s="22">
        <f t="shared" ref="CB4" si="22">MAX(BY4-CA4,0)</f>
        <v>0</v>
      </c>
      <c r="CC4" s="23" t="str">
        <f>IF(SUMPRODUCT($J$69:CB$69,$J4:CB4)&lt;0.5, "Pending", IF(CB4&lt;0.5, "Complete", "In Progress"))</f>
        <v>Complete</v>
      </c>
      <c r="CD4" s="24"/>
      <c r="CE4" s="25">
        <f>SUMPRODUCT($H$69:AY$69,$H4:AY4)</f>
        <v>6</v>
      </c>
    </row>
    <row r="5" spans="1:83" ht="12.75" customHeight="1" x14ac:dyDescent="0.2">
      <c r="A5" s="16" t="s">
        <v>105</v>
      </c>
      <c r="B5" s="16" t="s">
        <v>137</v>
      </c>
      <c r="C5" s="16"/>
      <c r="D5" s="17"/>
      <c r="E5" s="177" t="s">
        <v>145</v>
      </c>
      <c r="F5" s="18" t="s">
        <v>130</v>
      </c>
      <c r="G5" s="19" t="e">
        <f t="shared" ref="G5:G66" ca="1" si="23">(INDEX(Burndown,ROW(G5)-ROW(G$3),MIN(TODAY()-SprintStart,29)*3+3))</f>
        <v>#REF!</v>
      </c>
      <c r="H5" s="20">
        <v>1</v>
      </c>
      <c r="I5" s="21">
        <v>20</v>
      </c>
      <c r="J5" s="22">
        <v>7</v>
      </c>
      <c r="K5" s="22">
        <f t="shared" ref="K5:K65" si="24">MAX(I5-J5, 0)</f>
        <v>13</v>
      </c>
      <c r="L5" s="23" t="str">
        <f>IF(SUMPRODUCT($J$69:K$69,$J5:K5)&lt;0.5, "Pending", IF(K5&lt;0.5, "Complete", "In Progress"))</f>
        <v>In Progress</v>
      </c>
      <c r="M5" s="22">
        <v>8</v>
      </c>
      <c r="N5" s="22">
        <f t="shared" ref="N5:N65" si="25">MAX(K5-M5,0)</f>
        <v>5</v>
      </c>
      <c r="O5" s="23" t="str">
        <f>IF(SUMPRODUCT($J$69:N$69,$J5:N5)&lt;0.5, "Pending", IF(N5&lt;0.5, "Complete", "In Progress"))</f>
        <v>In Progress</v>
      </c>
      <c r="P5" s="22">
        <v>5</v>
      </c>
      <c r="Q5" s="22">
        <f t="shared" ref="Q5:Q65" si="26">MAX(N5-P5,0)</f>
        <v>0</v>
      </c>
      <c r="R5" s="23" t="str">
        <f>IF(SUMPRODUCT($J$69:Q$69,$J5:Q5)&lt;0.5, "Pending", IF(Q5&lt;0.5, "Complete", "In Progress"))</f>
        <v>Complete</v>
      </c>
      <c r="S5" s="22">
        <v>0</v>
      </c>
      <c r="T5" s="22">
        <f t="shared" ref="T5:T65" si="27">MAX(Q5-S5,0)</f>
        <v>0</v>
      </c>
      <c r="U5" s="23" t="str">
        <f>IF(SUMPRODUCT($J$69:T$69,$J5:T5)&lt;0.5, "Pending", IF(T5&lt;0.5, "Complete", "In Progress"))</f>
        <v>Complete</v>
      </c>
      <c r="V5" s="22">
        <v>0</v>
      </c>
      <c r="W5" s="22">
        <f t="shared" ref="W5:W65" si="28">MAX(T5-V5,0)</f>
        <v>0</v>
      </c>
      <c r="X5" s="23" t="str">
        <f>IF(SUMPRODUCT($J$69:W$69,$J5:W5)&lt;0.5, "Pending", IF(W5&lt;0.5, "Complete", "In Progress"))</f>
        <v>Complete</v>
      </c>
      <c r="Y5" s="22">
        <v>0</v>
      </c>
      <c r="Z5" s="22">
        <f t="shared" ref="Z5:Z65" si="29">MAX(W5-Y5,0)</f>
        <v>0</v>
      </c>
      <c r="AA5" s="23" t="str">
        <f>IF(SUMPRODUCT($J$69:Z$69,$J5:Z5)&lt;0.5, "Pending", IF(Z5&lt;0.5, "Complete", "In Progress"))</f>
        <v>Complete</v>
      </c>
      <c r="AB5" s="22">
        <v>0</v>
      </c>
      <c r="AC5" s="22">
        <f t="shared" ref="AC5:AC65" si="30">MAX(Z5-AB5,0)</f>
        <v>0</v>
      </c>
      <c r="AD5" s="23" t="str">
        <f>IF(SUMPRODUCT($J$69:AC$69,$J5:AC5)&lt;0.5, "Pending", IF(AC5&lt;0.5, "Complete", "In Progress"))</f>
        <v>Complete</v>
      </c>
      <c r="AE5" s="22">
        <v>0</v>
      </c>
      <c r="AF5" s="22">
        <f t="shared" ref="AF5:AF65" si="31">MAX(AC5-AE5,0)</f>
        <v>0</v>
      </c>
      <c r="AG5" s="23" t="str">
        <f>IF(SUMPRODUCT($J$69:AF$69,$J5:AF5)&lt;0.5, "Pending", IF(AF5&lt;0.5, "Complete", "In Progress"))</f>
        <v>Complete</v>
      </c>
      <c r="AH5" s="22">
        <v>0</v>
      </c>
      <c r="AI5" s="22">
        <f t="shared" ref="AI5:AI65" si="32">MAX(AF5-AH5,0)</f>
        <v>0</v>
      </c>
      <c r="AJ5" s="23" t="str">
        <f>IF(SUMPRODUCT($J$69:AI$69,$J5:AI5)&lt;0.5, "Pending", IF(AI5&lt;0.5, "Complete", "In Progress"))</f>
        <v>Complete</v>
      </c>
      <c r="AK5" s="22">
        <v>0</v>
      </c>
      <c r="AL5" s="22">
        <f t="shared" ref="AL5:AL65" si="33">MAX(AI5-AK5,0)</f>
        <v>0</v>
      </c>
      <c r="AM5" s="23" t="str">
        <f>IF(SUMPRODUCT($J$69:AL$69,$J5:AL5)&lt;0.5, "Pending", IF(AL5&lt;0.5, "Complete", "In Progress"))</f>
        <v>Complete</v>
      </c>
      <c r="AN5" s="22">
        <v>0</v>
      </c>
      <c r="AO5" s="22">
        <f t="shared" ref="AO5:AO65" si="34">MAX(AL5-AN5,0)</f>
        <v>0</v>
      </c>
      <c r="AP5" s="23" t="str">
        <f>IF(SUMPRODUCT($J$69:AO$69,$J5:AO5)&lt;0.5, "Pending", IF(AO5&lt;0.5, "Complete", "In Progress"))</f>
        <v>Complete</v>
      </c>
      <c r="AQ5" s="22">
        <v>0</v>
      </c>
      <c r="AR5" s="22">
        <f t="shared" ref="AR5:AR65" si="35">MAX(AO5-AQ5,0)</f>
        <v>0</v>
      </c>
      <c r="AS5" s="23" t="str">
        <f>IF(SUMPRODUCT($J$69:AR$69,$J5:AR5)&lt;0.5, "Pending", IF(AR5&lt;0.5, "Complete", "In Progress"))</f>
        <v>Complete</v>
      </c>
      <c r="AT5" s="22">
        <v>0</v>
      </c>
      <c r="AU5" s="22">
        <f t="shared" ref="AU5:AU65" si="36">MAX(AR5-AT5,0)</f>
        <v>0</v>
      </c>
      <c r="AV5" s="23" t="str">
        <f>IF(SUMPRODUCT($J$69:AU$69,$J5:AU5)&lt;0.5, "Pending", IF(AU5&lt;0.5, "Complete", "In Progress"))</f>
        <v>Complete</v>
      </c>
      <c r="AW5" s="22">
        <v>0</v>
      </c>
      <c r="AX5" s="22">
        <f t="shared" ref="AX5:AX65" si="37">MAX(AU5-AW5,0)</f>
        <v>0</v>
      </c>
      <c r="AY5" s="23" t="str">
        <f>IF(SUMPRODUCT($J$69:AX$69,$J5:AX5)&lt;0.5, "Pending", IF(AX5&lt;0.5, "Complete", "In Progress"))</f>
        <v>Complete</v>
      </c>
      <c r="AZ5" s="22">
        <v>0</v>
      </c>
      <c r="BA5" s="22">
        <f t="shared" ref="BA5:BA19" si="38">MAX(AX5-AZ5,0)</f>
        <v>0</v>
      </c>
      <c r="BB5" s="23" t="str">
        <f>IF(SUMPRODUCT($J$69:BA$69,$J5:BA5)&lt;0.5, "Pending", IF(BA5&lt;0.5, "Complete", "In Progress"))</f>
        <v>Complete</v>
      </c>
      <c r="BC5" s="22">
        <v>0</v>
      </c>
      <c r="BD5" s="22">
        <f t="shared" ref="BD5:BD65" si="39">MAX(BA5-BC5,0)</f>
        <v>0</v>
      </c>
      <c r="BE5" s="23" t="str">
        <f>IF(SUMPRODUCT($J$69:BD$69,$J5:BD5)&lt;0.5, "Pending", IF(BD5&lt;0.5, "Complete", "In Progress"))</f>
        <v>Complete</v>
      </c>
      <c r="BF5" s="22">
        <v>0</v>
      </c>
      <c r="BG5" s="22">
        <f t="shared" ref="BG5:BG65" si="40">MAX(BD5-BF5,0)</f>
        <v>0</v>
      </c>
      <c r="BH5" s="23" t="str">
        <f>IF(SUMPRODUCT($J$69:BG$69,$J5:BG5)&lt;0.5, "Pending", IF(BG5&lt;0.5, "Complete", "In Progress"))</f>
        <v>Complete</v>
      </c>
      <c r="BI5" s="22">
        <v>0</v>
      </c>
      <c r="BJ5" s="22">
        <f t="shared" ref="BJ5:BJ65" si="41">MAX(BG5-BI5,0)</f>
        <v>0</v>
      </c>
      <c r="BK5" s="23" t="str">
        <f>IF(SUMPRODUCT($J$69:BJ$69,$J5:BJ5)&lt;0.5, "Pending", IF(BJ5&lt;0.5, "Complete", "In Progress"))</f>
        <v>Complete</v>
      </c>
      <c r="BL5" s="22">
        <v>0</v>
      </c>
      <c r="BM5" s="22">
        <f t="shared" ref="BM5:BM65" si="42">MAX(BJ5-BL5,0)</f>
        <v>0</v>
      </c>
      <c r="BN5" s="23" t="str">
        <f>IF(SUMPRODUCT($J$69:BM$69,$J5:BM5)&lt;0.5, "Pending", IF(BM5&lt;0.5, "Complete", "In Progress"))</f>
        <v>Complete</v>
      </c>
      <c r="BO5" s="22">
        <v>0</v>
      </c>
      <c r="BP5" s="22">
        <f t="shared" ref="BP5:BP65" si="43">MAX(BM5-BO5,0)</f>
        <v>0</v>
      </c>
      <c r="BQ5" s="23" t="str">
        <f>IF(SUMPRODUCT($J$69:BP$69,$J5:BP5)&lt;0.5, "Pending", IF(BP5&lt;0.5, "Complete", "In Progress"))</f>
        <v>Complete</v>
      </c>
      <c r="BR5" s="22">
        <v>0</v>
      </c>
      <c r="BS5" s="22">
        <f t="shared" ref="BS5:BS65" si="44">MAX(BP5-BR5,0)</f>
        <v>0</v>
      </c>
      <c r="BT5" s="23" t="str">
        <f>IF(SUMPRODUCT($J$69:BS$69,$J5:BS5)&lt;0.5, "Pending", IF(BS5&lt;0.5, "Complete", "In Progress"))</f>
        <v>Complete</v>
      </c>
      <c r="BU5" s="22">
        <v>0</v>
      </c>
      <c r="BV5" s="22">
        <f t="shared" ref="BV5:BV65" si="45">MAX(BS5-BU5,0)</f>
        <v>0</v>
      </c>
      <c r="BW5" s="23" t="str">
        <f>IF(SUMPRODUCT($J$69:BV$69,$J5:BV5)&lt;0.5, "Pending", IF(BV5&lt;0.5, "Complete", "In Progress"))</f>
        <v>Complete</v>
      </c>
      <c r="BX5" s="22">
        <v>0</v>
      </c>
      <c r="BY5" s="22">
        <f t="shared" ref="BY5:BY65" si="46">MAX(BV5-BX5,0)</f>
        <v>0</v>
      </c>
      <c r="BZ5" s="23" t="str">
        <f>IF(SUMPRODUCT($J$69:BY$69,$J5:BY5)&lt;0.5, "Pending", IF(BY5&lt;0.5, "Complete", "In Progress"))</f>
        <v>Complete</v>
      </c>
      <c r="CA5" s="22">
        <v>0</v>
      </c>
      <c r="CB5" s="22">
        <f t="shared" ref="CB5:CB65" si="47">MAX(BY5-CA5,0)</f>
        <v>0</v>
      </c>
      <c r="CC5" s="23" t="str">
        <f>IF(SUMPRODUCT($J$69:CB$69,$J5:CB5)&lt;0.5, "Pending", IF(CB5&lt;0.5, "Complete", "In Progress"))</f>
        <v>Complete</v>
      </c>
      <c r="CD5" s="24"/>
      <c r="CE5" s="25">
        <f>SUMPRODUCT($H$69:AY$69,$H5:AY5)</f>
        <v>20</v>
      </c>
    </row>
    <row r="6" spans="1:83" ht="12.75" customHeight="1" x14ac:dyDescent="0.2">
      <c r="A6" s="16" t="s">
        <v>105</v>
      </c>
      <c r="B6" s="16" t="s">
        <v>136</v>
      </c>
      <c r="C6" s="16"/>
      <c r="D6" s="17"/>
      <c r="E6" s="177" t="s">
        <v>145</v>
      </c>
      <c r="F6" s="18" t="s">
        <v>129</v>
      </c>
      <c r="G6" s="19" t="e">
        <f t="shared" ca="1" si="23"/>
        <v>#REF!</v>
      </c>
      <c r="H6" s="20">
        <v>1</v>
      </c>
      <c r="I6" s="21">
        <v>7</v>
      </c>
      <c r="J6" s="22">
        <v>0</v>
      </c>
      <c r="K6" s="22">
        <f t="shared" ref="K6" si="48">MAX(I6-J6, 0)</f>
        <v>7</v>
      </c>
      <c r="L6" s="23" t="str">
        <f>IF(SUMPRODUCT($J$69:K$69,$J6:K6)&lt;0.5, "Pending", IF(K6&lt;0.5, "Complete", "In Progress"))</f>
        <v>Pending</v>
      </c>
      <c r="M6" s="22">
        <v>7</v>
      </c>
      <c r="N6" s="22">
        <f t="shared" ref="N6" si="49">MAX(K6-M6,0)</f>
        <v>0</v>
      </c>
      <c r="O6" s="23" t="str">
        <f>IF(SUMPRODUCT($J$69:N$69,$J6:N6)&lt;0.5, "Pending", IF(N6&lt;0.5, "Complete", "In Progress"))</f>
        <v>Complete</v>
      </c>
      <c r="P6" s="22">
        <v>0</v>
      </c>
      <c r="Q6" s="22">
        <f t="shared" ref="Q6" si="50">MAX(N6-P6,0)</f>
        <v>0</v>
      </c>
      <c r="R6" s="23" t="str">
        <f>IF(SUMPRODUCT($J$69:Q$69,$J6:Q6)&lt;0.5, "Pending", IF(Q6&lt;0.5, "Complete", "In Progress"))</f>
        <v>Complete</v>
      </c>
      <c r="S6" s="22">
        <v>0</v>
      </c>
      <c r="T6" s="22">
        <f t="shared" ref="T6" si="51">MAX(Q6-S6,0)</f>
        <v>0</v>
      </c>
      <c r="U6" s="23" t="str">
        <f>IF(SUMPRODUCT($J$69:T$69,$J6:T6)&lt;0.5, "Pending", IF(T6&lt;0.5, "Complete", "In Progress"))</f>
        <v>Complete</v>
      </c>
      <c r="V6" s="22">
        <v>0</v>
      </c>
      <c r="W6" s="22">
        <f t="shared" ref="W6" si="52">MAX(T6-V6,0)</f>
        <v>0</v>
      </c>
      <c r="X6" s="23" t="str">
        <f>IF(SUMPRODUCT($J$69:W$69,$J6:W6)&lt;0.5, "Pending", IF(W6&lt;0.5, "Complete", "In Progress"))</f>
        <v>Complete</v>
      </c>
      <c r="Y6" s="22">
        <v>0</v>
      </c>
      <c r="Z6" s="22">
        <f t="shared" ref="Z6" si="53">MAX(W6-Y6,0)</f>
        <v>0</v>
      </c>
      <c r="AA6" s="23" t="str">
        <f>IF(SUMPRODUCT($J$69:Z$69,$J6:Z6)&lt;0.5, "Pending", IF(Z6&lt;0.5, "Complete", "In Progress"))</f>
        <v>Complete</v>
      </c>
      <c r="AB6" s="22">
        <v>0</v>
      </c>
      <c r="AC6" s="22">
        <f t="shared" ref="AC6" si="54">MAX(Z6-AB6,0)</f>
        <v>0</v>
      </c>
      <c r="AD6" s="23" t="str">
        <f>IF(SUMPRODUCT($J$69:AC$69,$J6:AC6)&lt;0.5, "Pending", IF(AC6&lt;0.5, "Complete", "In Progress"))</f>
        <v>Complete</v>
      </c>
      <c r="AE6" s="22">
        <v>0</v>
      </c>
      <c r="AF6" s="22">
        <f t="shared" ref="AF6" si="55">MAX(AC6-AE6,0)</f>
        <v>0</v>
      </c>
      <c r="AG6" s="23" t="str">
        <f>IF(SUMPRODUCT($J$69:AF$69,$J6:AF6)&lt;0.5, "Pending", IF(AF6&lt;0.5, "Complete", "In Progress"))</f>
        <v>Complete</v>
      </c>
      <c r="AH6" s="22">
        <v>0</v>
      </c>
      <c r="AI6" s="22">
        <f t="shared" ref="AI6" si="56">MAX(AF6-AH6,0)</f>
        <v>0</v>
      </c>
      <c r="AJ6" s="23" t="str">
        <f>IF(SUMPRODUCT($J$69:AI$69,$J6:AI6)&lt;0.5, "Pending", IF(AI6&lt;0.5, "Complete", "In Progress"))</f>
        <v>Complete</v>
      </c>
      <c r="AK6" s="22">
        <v>0</v>
      </c>
      <c r="AL6" s="22">
        <f t="shared" ref="AL6" si="57">MAX(AI6-AK6,0)</f>
        <v>0</v>
      </c>
      <c r="AM6" s="23" t="str">
        <f>IF(SUMPRODUCT($J$69:AL$69,$J6:AL6)&lt;0.5, "Pending", IF(AL6&lt;0.5, "Complete", "In Progress"))</f>
        <v>Complete</v>
      </c>
      <c r="AN6" s="22">
        <v>0</v>
      </c>
      <c r="AO6" s="22">
        <f t="shared" ref="AO6" si="58">MAX(AL6-AN6,0)</f>
        <v>0</v>
      </c>
      <c r="AP6" s="23" t="str">
        <f>IF(SUMPRODUCT($J$69:AO$69,$J6:AO6)&lt;0.5, "Pending", IF(AO6&lt;0.5, "Complete", "In Progress"))</f>
        <v>Complete</v>
      </c>
      <c r="AQ6" s="22">
        <v>0</v>
      </c>
      <c r="AR6" s="22">
        <f t="shared" ref="AR6" si="59">MAX(AO6-AQ6,0)</f>
        <v>0</v>
      </c>
      <c r="AS6" s="23" t="str">
        <f>IF(SUMPRODUCT($J$69:AR$69,$J6:AR6)&lt;0.5, "Pending", IF(AR6&lt;0.5, "Complete", "In Progress"))</f>
        <v>Complete</v>
      </c>
      <c r="AT6" s="22">
        <v>0</v>
      </c>
      <c r="AU6" s="22">
        <f t="shared" ref="AU6" si="60">MAX(AR6-AT6,0)</f>
        <v>0</v>
      </c>
      <c r="AV6" s="23" t="str">
        <f>IF(SUMPRODUCT($J$69:AU$69,$J6:AU6)&lt;0.5, "Pending", IF(AU6&lt;0.5, "Complete", "In Progress"))</f>
        <v>Complete</v>
      </c>
      <c r="AW6" s="22">
        <v>0</v>
      </c>
      <c r="AX6" s="22">
        <f t="shared" ref="AX6" si="61">MAX(AU6-AW6,0)</f>
        <v>0</v>
      </c>
      <c r="AY6" s="23" t="str">
        <f>IF(SUMPRODUCT($J$69:AX$69,$J6:AX6)&lt;0.5, "Pending", IF(AX6&lt;0.5, "Complete", "In Progress"))</f>
        <v>Complete</v>
      </c>
      <c r="AZ6" s="22">
        <v>0</v>
      </c>
      <c r="BA6" s="22">
        <f t="shared" ref="BA6" si="62">MAX(AX6-AZ6,0)</f>
        <v>0</v>
      </c>
      <c r="BB6" s="23" t="str">
        <f>IF(SUMPRODUCT($J$69:BA$69,$J6:BA6)&lt;0.5, "Pending", IF(BA6&lt;0.5, "Complete", "In Progress"))</f>
        <v>Complete</v>
      </c>
      <c r="BC6" s="22">
        <v>0</v>
      </c>
      <c r="BD6" s="22">
        <f t="shared" ref="BD6" si="63">MAX(BA6-BC6,0)</f>
        <v>0</v>
      </c>
      <c r="BE6" s="23" t="str">
        <f>IF(SUMPRODUCT($J$69:BD$69,$J6:BD6)&lt;0.5, "Pending", IF(BD6&lt;0.5, "Complete", "In Progress"))</f>
        <v>Complete</v>
      </c>
      <c r="BF6" s="22">
        <v>0</v>
      </c>
      <c r="BG6" s="22">
        <f t="shared" ref="BG6" si="64">MAX(BD6-BF6,0)</f>
        <v>0</v>
      </c>
      <c r="BH6" s="23" t="str">
        <f>IF(SUMPRODUCT($J$69:BG$69,$J6:BG6)&lt;0.5, "Pending", IF(BG6&lt;0.5, "Complete", "In Progress"))</f>
        <v>Complete</v>
      </c>
      <c r="BI6" s="22">
        <v>0</v>
      </c>
      <c r="BJ6" s="22">
        <f t="shared" ref="BJ6" si="65">MAX(BG6-BI6,0)</f>
        <v>0</v>
      </c>
      <c r="BK6" s="23" t="str">
        <f>IF(SUMPRODUCT($J$69:BJ$69,$J6:BJ6)&lt;0.5, "Pending", IF(BJ6&lt;0.5, "Complete", "In Progress"))</f>
        <v>Complete</v>
      </c>
      <c r="BL6" s="22">
        <v>0</v>
      </c>
      <c r="BM6" s="22">
        <f t="shared" ref="BM6" si="66">MAX(BJ6-BL6,0)</f>
        <v>0</v>
      </c>
      <c r="BN6" s="23" t="str">
        <f>IF(SUMPRODUCT($J$69:BM$69,$J6:BM6)&lt;0.5, "Pending", IF(BM6&lt;0.5, "Complete", "In Progress"))</f>
        <v>Complete</v>
      </c>
      <c r="BO6" s="22">
        <v>0</v>
      </c>
      <c r="BP6" s="22">
        <f t="shared" ref="BP6" si="67">MAX(BM6-BO6,0)</f>
        <v>0</v>
      </c>
      <c r="BQ6" s="23" t="str">
        <f>IF(SUMPRODUCT($J$69:BP$69,$J6:BP6)&lt;0.5, "Pending", IF(BP6&lt;0.5, "Complete", "In Progress"))</f>
        <v>Complete</v>
      </c>
      <c r="BR6" s="22">
        <v>0</v>
      </c>
      <c r="BS6" s="22">
        <f t="shared" ref="BS6" si="68">MAX(BP6-BR6,0)</f>
        <v>0</v>
      </c>
      <c r="BT6" s="23" t="str">
        <f>IF(SUMPRODUCT($J$69:BS$69,$J6:BS6)&lt;0.5, "Pending", IF(BS6&lt;0.5, "Complete", "In Progress"))</f>
        <v>Complete</v>
      </c>
      <c r="BU6" s="22">
        <v>0</v>
      </c>
      <c r="BV6" s="22">
        <f t="shared" ref="BV6" si="69">MAX(BS6-BU6,0)</f>
        <v>0</v>
      </c>
      <c r="BW6" s="23" t="str">
        <f>IF(SUMPRODUCT($J$69:BV$69,$J6:BV6)&lt;0.5, "Pending", IF(BV6&lt;0.5, "Complete", "In Progress"))</f>
        <v>Complete</v>
      </c>
      <c r="BX6" s="22">
        <v>0</v>
      </c>
      <c r="BY6" s="22">
        <f t="shared" ref="BY6" si="70">MAX(BV6-BX6,0)</f>
        <v>0</v>
      </c>
      <c r="BZ6" s="23" t="str">
        <f>IF(SUMPRODUCT($J$69:BY$69,$J6:BY6)&lt;0.5, "Pending", IF(BY6&lt;0.5, "Complete", "In Progress"))</f>
        <v>Complete</v>
      </c>
      <c r="CA6" s="22">
        <v>0</v>
      </c>
      <c r="CB6" s="22">
        <f t="shared" ref="CB6" si="71">MAX(BY6-CA6,0)</f>
        <v>0</v>
      </c>
      <c r="CC6" s="23" t="str">
        <f>IF(SUMPRODUCT($J$69:CB$69,$J6:CB6)&lt;0.5, "Pending", IF(CB6&lt;0.5, "Complete", "In Progress"))</f>
        <v>Complete</v>
      </c>
      <c r="CD6" s="24"/>
      <c r="CE6" s="25">
        <f>SUMPRODUCT($H$69:AY$69,$H6:AY6)</f>
        <v>7</v>
      </c>
    </row>
    <row r="7" spans="1:83" ht="12.75" customHeight="1" x14ac:dyDescent="0.2">
      <c r="A7" s="16" t="s">
        <v>107</v>
      </c>
      <c r="B7" s="16" t="s">
        <v>143</v>
      </c>
      <c r="C7" s="16"/>
      <c r="D7" s="17"/>
      <c r="E7" s="177" t="s">
        <v>145</v>
      </c>
      <c r="F7" s="18" t="s">
        <v>131</v>
      </c>
      <c r="G7" s="19" t="e">
        <f t="shared" ca="1" si="23"/>
        <v>#REF!</v>
      </c>
      <c r="H7" s="20">
        <v>1</v>
      </c>
      <c r="I7" s="21">
        <v>1</v>
      </c>
      <c r="J7" s="22">
        <v>0</v>
      </c>
      <c r="K7" s="22">
        <f t="shared" si="24"/>
        <v>1</v>
      </c>
      <c r="L7" s="23" t="str">
        <f>IF(SUMPRODUCT($J$69:K$69,$J7:K7)&lt;0.5, "Pending", IF(K7&lt;0.5, "Complete", "In Progress"))</f>
        <v>Pending</v>
      </c>
      <c r="M7" s="22">
        <v>1</v>
      </c>
      <c r="N7" s="22">
        <f t="shared" si="25"/>
        <v>0</v>
      </c>
      <c r="O7" s="23" t="str">
        <f>IF(SUMPRODUCT($J$69:N$69,$J7:N7)&lt;0.5, "Pending", IF(N7&lt;0.5, "Complete", "In Progress"))</f>
        <v>Complete</v>
      </c>
      <c r="P7" s="22">
        <v>0</v>
      </c>
      <c r="Q7" s="22">
        <f t="shared" si="26"/>
        <v>0</v>
      </c>
      <c r="R7" s="23" t="str">
        <f>IF(SUMPRODUCT($J$69:Q$69,$J7:Q7)&lt;0.5, "Pending", IF(Q7&lt;0.5, "Complete", "In Progress"))</f>
        <v>Complete</v>
      </c>
      <c r="S7" s="22">
        <v>0</v>
      </c>
      <c r="T7" s="22">
        <f t="shared" si="27"/>
        <v>0</v>
      </c>
      <c r="U7" s="23" t="str">
        <f>IF(SUMPRODUCT($J$69:T$69,$J7:T7)&lt;0.5,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IF(SUMPRODUCT($J$69:W$69,$J7:W7)&lt;0.5,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IF(SUMPRODUCT($J$69:Z$69,$J7:Z7)&lt;0.5,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IF(SUMPRODUCT($J$69:AC$69,$J7:AC7)&lt;0.5,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IF(SUMPRODUCT($J$69:AF$69,$J7:AF7)&lt;0.5,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IF(SUMPRODUCT($J$69:AI$69,$J7:AI7)&lt;0.5,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IF(SUMPRODUCT($J$69:AL$69,$J7:AL7)&lt;0.5,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IF(SUMPRODUCT($J$69:AO$69,$J7:AO7)&lt;0.5,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IF(SUMPRODUCT($J$69:AR$69,$J7:AR7)&lt;0.5,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IF(SUMPRODUCT($J$69:AU$69,$J7:AU7)&lt;0.5,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IF(SUMPRODUCT($J$69:AX$69,$J7:AX7)&lt;0.5, "Pending", IF(AX7&lt;0.5, "Complete", "In Progress"))</f>
        <v>Complete</v>
      </c>
      <c r="AZ7" s="22">
        <v>0</v>
      </c>
      <c r="BA7" s="22">
        <f t="shared" si="38"/>
        <v>0</v>
      </c>
      <c r="BB7" s="23" t="str">
        <f>IF(SUMPRODUCT($J$69:BA$69,$J7:BA7)&lt;0.5, "Pending", IF(BA7&lt;0.5, "Complete", "In Progress"))</f>
        <v>Complete</v>
      </c>
      <c r="BC7" s="22">
        <v>0</v>
      </c>
      <c r="BD7" s="22">
        <f t="shared" si="39"/>
        <v>0</v>
      </c>
      <c r="BE7" s="23" t="str">
        <f>IF(SUMPRODUCT($J$69:BD$69,$J7:BD7)&lt;0.5, "Pending", IF(BD7&lt;0.5, "Complete", "In Progress"))</f>
        <v>Complete</v>
      </c>
      <c r="BF7" s="22">
        <v>0</v>
      </c>
      <c r="BG7" s="22">
        <f t="shared" si="40"/>
        <v>0</v>
      </c>
      <c r="BH7" s="23" t="str">
        <f>IF(SUMPRODUCT($J$69:BG$69,$J7:BG7)&lt;0.5, "Pending", IF(BG7&lt;0.5, "Complete", "In Progress"))</f>
        <v>Complete</v>
      </c>
      <c r="BI7" s="22">
        <v>0</v>
      </c>
      <c r="BJ7" s="22">
        <f t="shared" si="41"/>
        <v>0</v>
      </c>
      <c r="BK7" s="23" t="str">
        <f>IF(SUMPRODUCT($J$69:BJ$69,$J7:BJ7)&lt;0.5, "Pending", IF(BJ7&lt;0.5, "Complete", "In Progress"))</f>
        <v>Complete</v>
      </c>
      <c r="BL7" s="22">
        <v>0</v>
      </c>
      <c r="BM7" s="22">
        <f t="shared" si="42"/>
        <v>0</v>
      </c>
      <c r="BN7" s="23" t="str">
        <f>IF(SUMPRODUCT($J$69:BM$69,$J7:BM7)&lt;0.5, "Pending", IF(BM7&lt;0.5, "Complete", "In Progress"))</f>
        <v>Complete</v>
      </c>
      <c r="BO7" s="22">
        <v>0</v>
      </c>
      <c r="BP7" s="22">
        <f t="shared" si="43"/>
        <v>0</v>
      </c>
      <c r="BQ7" s="23" t="str">
        <f>IF(SUMPRODUCT($J$69:BP$69,$J7:BP7)&lt;0.5, "Pending", IF(BP7&lt;0.5, "Complete", "In Progress"))</f>
        <v>Complete</v>
      </c>
      <c r="BR7" s="22">
        <v>0</v>
      </c>
      <c r="BS7" s="22">
        <f t="shared" si="44"/>
        <v>0</v>
      </c>
      <c r="BT7" s="23" t="str">
        <f>IF(SUMPRODUCT($J$69:BS$69,$J7:BS7)&lt;0.5, "Pending", IF(BS7&lt;0.5, "Complete", "In Progress"))</f>
        <v>Complete</v>
      </c>
      <c r="BU7" s="22">
        <v>0</v>
      </c>
      <c r="BV7" s="22">
        <f t="shared" si="45"/>
        <v>0</v>
      </c>
      <c r="BW7" s="23" t="str">
        <f>IF(SUMPRODUCT($J$69:BV$69,$J7:BV7)&lt;0.5, "Pending", IF(BV7&lt;0.5, "Complete", "In Progress"))</f>
        <v>Complete</v>
      </c>
      <c r="BX7" s="22">
        <v>0</v>
      </c>
      <c r="BY7" s="22">
        <f t="shared" si="46"/>
        <v>0</v>
      </c>
      <c r="BZ7" s="23" t="str">
        <f>IF(SUMPRODUCT($J$69:BY$69,$J7:BY7)&lt;0.5, "Pending", IF(BY7&lt;0.5, "Complete", "In Progress"))</f>
        <v>Complete</v>
      </c>
      <c r="CA7" s="22">
        <v>0</v>
      </c>
      <c r="CB7" s="22">
        <f t="shared" si="47"/>
        <v>0</v>
      </c>
      <c r="CC7" s="23" t="str">
        <f>IF(SUMPRODUCT($J$69:CB$69,$J7:CB7)&lt;0.5, "Pending", IF(CB7&lt;0.5, "Complete", "In Progress"))</f>
        <v>Complete</v>
      </c>
      <c r="CD7" s="24"/>
      <c r="CE7" s="25">
        <f>SUMPRODUCT($H$69:AY$69,$H7:AY7)</f>
        <v>1</v>
      </c>
    </row>
    <row r="8" spans="1:83" ht="12.75" customHeight="1" x14ac:dyDescent="0.2">
      <c r="A8" s="16" t="s">
        <v>105</v>
      </c>
      <c r="B8" s="16" t="s">
        <v>137</v>
      </c>
      <c r="C8" s="16"/>
      <c r="D8" s="17"/>
      <c r="E8" s="177" t="s">
        <v>146</v>
      </c>
      <c r="F8" s="18" t="s">
        <v>129</v>
      </c>
      <c r="G8" s="19" t="e">
        <f t="shared" ca="1" si="23"/>
        <v>#REF!</v>
      </c>
      <c r="H8" s="20">
        <v>1</v>
      </c>
      <c r="I8" s="21">
        <v>6</v>
      </c>
      <c r="J8" s="22">
        <v>0</v>
      </c>
      <c r="K8" s="22">
        <f t="shared" si="24"/>
        <v>6</v>
      </c>
      <c r="L8" s="23" t="str">
        <f>IF(SUMPRODUCT($J$69:K$69,$J8:K8)&lt;0.5, "Pending", IF(K8&lt;0.5, "Complete", "In Progress"))</f>
        <v>Pending</v>
      </c>
      <c r="M8" s="22">
        <v>0</v>
      </c>
      <c r="N8" s="22">
        <f t="shared" si="25"/>
        <v>6</v>
      </c>
      <c r="O8" s="23" t="str">
        <f>IF(SUMPRODUCT($J$69:N$69,$J8:N8)&lt;0.5, "Pending", IF(N8&lt;0.5, "Complete", "In Progress"))</f>
        <v>Pending</v>
      </c>
      <c r="P8" s="22">
        <v>6</v>
      </c>
      <c r="Q8" s="22">
        <f t="shared" si="26"/>
        <v>0</v>
      </c>
      <c r="R8" s="23" t="str">
        <f>IF(SUMPRODUCT($J$69:Q$69,$J8:Q8)&lt;0.5, "Pending", IF(Q8&lt;0.5, "Complete", "In Progress"))</f>
        <v>Complete</v>
      </c>
      <c r="S8" s="22">
        <v>0</v>
      </c>
      <c r="T8" s="22">
        <f t="shared" si="27"/>
        <v>0</v>
      </c>
      <c r="U8" s="23" t="str">
        <f>IF(SUMPRODUCT($J$69:T$69,$J8:T8)&lt;0.5, "Pending", IF(T8&lt;0.5, "Complete", "In Progress"))</f>
        <v>Complete</v>
      </c>
      <c r="V8" s="22">
        <v>0</v>
      </c>
      <c r="W8" s="22">
        <f t="shared" si="28"/>
        <v>0</v>
      </c>
      <c r="X8" s="23" t="str">
        <f>IF(SUMPRODUCT($J$69:W$69,$J8:W8)&lt;0.5, "Pending", IF(W8&lt;0.5, "Complete", "In Progress"))</f>
        <v>Complete</v>
      </c>
      <c r="Y8" s="22">
        <v>0</v>
      </c>
      <c r="Z8" s="22">
        <f t="shared" si="29"/>
        <v>0</v>
      </c>
      <c r="AA8" s="23" t="str">
        <f>IF(SUMPRODUCT($J$69:Z$69,$J8:Z8)&lt;0.5, "Pending", IF(Z8&lt;0.5, "Complete", "In Progress"))</f>
        <v>Complete</v>
      </c>
      <c r="AB8" s="22">
        <v>0</v>
      </c>
      <c r="AC8" s="22">
        <f t="shared" si="30"/>
        <v>0</v>
      </c>
      <c r="AD8" s="23" t="str">
        <f>IF(SUMPRODUCT($J$69:AC$69,$J8:AC8)&lt;0.5, "Pending", IF(AC8&lt;0.5, "Complete", "In Progress"))</f>
        <v>Complete</v>
      </c>
      <c r="AE8" s="22">
        <v>0</v>
      </c>
      <c r="AF8" s="22">
        <f t="shared" si="31"/>
        <v>0</v>
      </c>
      <c r="AG8" s="23" t="str">
        <f>IF(SUMPRODUCT($J$69:AF$69,$J8:AF8)&lt;0.5, "Pending", IF(AF8&lt;0.5, "Complete", "In Progress"))</f>
        <v>Complete</v>
      </c>
      <c r="AH8" s="22">
        <v>0</v>
      </c>
      <c r="AI8" s="22">
        <f t="shared" si="32"/>
        <v>0</v>
      </c>
      <c r="AJ8" s="23" t="str">
        <f>IF(SUMPRODUCT($J$69:AI$69,$J8:AI8)&lt;0.5, "Pending", IF(AI8&lt;0.5, "Complete", "In Progress"))</f>
        <v>Complete</v>
      </c>
      <c r="AK8" s="22">
        <v>0</v>
      </c>
      <c r="AL8" s="22">
        <f t="shared" si="33"/>
        <v>0</v>
      </c>
      <c r="AM8" s="23" t="str">
        <f>IF(SUMPRODUCT($J$69:AL$69,$J8:AL8)&lt;0.5, "Pending", IF(AL8&lt;0.5, "Complete", "In Progress"))</f>
        <v>Complete</v>
      </c>
      <c r="AN8" s="22">
        <v>0</v>
      </c>
      <c r="AO8" s="22">
        <f t="shared" si="34"/>
        <v>0</v>
      </c>
      <c r="AP8" s="23" t="str">
        <f>IF(SUMPRODUCT($J$69:AO$69,$J8:AO8)&lt;0.5, "Pending", IF(AO8&lt;0.5, "Complete", "In Progress"))</f>
        <v>Complete</v>
      </c>
      <c r="AQ8" s="22">
        <v>0</v>
      </c>
      <c r="AR8" s="22">
        <f t="shared" si="35"/>
        <v>0</v>
      </c>
      <c r="AS8" s="23" t="str">
        <f>IF(SUMPRODUCT($J$69:AR$69,$J8:AR8)&lt;0.5, "Pending", IF(AR8&lt;0.5, "Complete", "In Progress"))</f>
        <v>Complete</v>
      </c>
      <c r="AT8" s="22">
        <v>0</v>
      </c>
      <c r="AU8" s="22">
        <f t="shared" si="36"/>
        <v>0</v>
      </c>
      <c r="AV8" s="23" t="str">
        <f>IF(SUMPRODUCT($J$69:AU$69,$J8:AU8)&lt;0.5, "Pending", IF(AU8&lt;0.5, "Complete", "In Progress"))</f>
        <v>Complete</v>
      </c>
      <c r="AW8" s="22">
        <v>0</v>
      </c>
      <c r="AX8" s="22">
        <f t="shared" si="37"/>
        <v>0</v>
      </c>
      <c r="AY8" s="23" t="str">
        <f>IF(SUMPRODUCT($J$69:AX$69,$J8:AX8)&lt;0.5, "Pending", IF(AX8&lt;0.5, "Complete", "In Progress"))</f>
        <v>Complete</v>
      </c>
      <c r="AZ8" s="22">
        <v>0</v>
      </c>
      <c r="BA8" s="22">
        <f t="shared" si="38"/>
        <v>0</v>
      </c>
      <c r="BB8" s="23" t="str">
        <f>IF(SUMPRODUCT($J$69:BA$69,$J8:BA8)&lt;0.5, "Pending", IF(BA8&lt;0.5, "Complete", "In Progress"))</f>
        <v>Complete</v>
      </c>
      <c r="BC8" s="22">
        <v>0</v>
      </c>
      <c r="BD8" s="22">
        <f t="shared" si="39"/>
        <v>0</v>
      </c>
      <c r="BE8" s="23" t="str">
        <f>IF(SUMPRODUCT($J$69:BD$69,$J8:BD8)&lt;0.5, "Pending", IF(BD8&lt;0.5, "Complete", "In Progress"))</f>
        <v>Complete</v>
      </c>
      <c r="BF8" s="22">
        <v>0</v>
      </c>
      <c r="BG8" s="22">
        <f t="shared" si="40"/>
        <v>0</v>
      </c>
      <c r="BH8" s="23" t="str">
        <f>IF(SUMPRODUCT($J$69:BG$69,$J8:BG8)&lt;0.5, "Pending", IF(BG8&lt;0.5, "Complete", "In Progress"))</f>
        <v>Complete</v>
      </c>
      <c r="BI8" s="22">
        <v>0</v>
      </c>
      <c r="BJ8" s="22">
        <f t="shared" si="41"/>
        <v>0</v>
      </c>
      <c r="BK8" s="23" t="str">
        <f>IF(SUMPRODUCT($J$69:BJ$69,$J8:BJ8)&lt;0.5, "Pending", IF(BJ8&lt;0.5, "Complete", "In Progress"))</f>
        <v>Complete</v>
      </c>
      <c r="BL8" s="22">
        <v>0</v>
      </c>
      <c r="BM8" s="22">
        <f t="shared" si="42"/>
        <v>0</v>
      </c>
      <c r="BN8" s="23" t="str">
        <f>IF(SUMPRODUCT($J$69:BM$69,$J8:BM8)&lt;0.5, "Pending", IF(BM8&lt;0.5, "Complete", "In Progress"))</f>
        <v>Complete</v>
      </c>
      <c r="BO8" s="22">
        <v>0</v>
      </c>
      <c r="BP8" s="22">
        <f t="shared" si="43"/>
        <v>0</v>
      </c>
      <c r="BQ8" s="23" t="str">
        <f>IF(SUMPRODUCT($J$69:BP$69,$J8:BP8)&lt;0.5, "Pending", IF(BP8&lt;0.5, "Complete", "In Progress"))</f>
        <v>Complete</v>
      </c>
      <c r="BR8" s="22">
        <v>0</v>
      </c>
      <c r="BS8" s="22">
        <f t="shared" si="44"/>
        <v>0</v>
      </c>
      <c r="BT8" s="23" t="str">
        <f>IF(SUMPRODUCT($J$69:BS$69,$J8:BS8)&lt;0.5, "Pending", IF(BS8&lt;0.5, "Complete", "In Progress"))</f>
        <v>Complete</v>
      </c>
      <c r="BU8" s="22">
        <v>0</v>
      </c>
      <c r="BV8" s="22">
        <f t="shared" si="45"/>
        <v>0</v>
      </c>
      <c r="BW8" s="23" t="str">
        <f>IF(SUMPRODUCT($J$69:BV$69,$J8:BV8)&lt;0.5, "Pending", IF(BV8&lt;0.5, "Complete", "In Progress"))</f>
        <v>Complete</v>
      </c>
      <c r="BX8" s="22">
        <v>0</v>
      </c>
      <c r="BY8" s="22">
        <f t="shared" si="46"/>
        <v>0</v>
      </c>
      <c r="BZ8" s="23" t="str">
        <f>IF(SUMPRODUCT($J$69:BY$69,$J8:BY8)&lt;0.5, "Pending", IF(BY8&lt;0.5, "Complete", "In Progress"))</f>
        <v>Complete</v>
      </c>
      <c r="CA8" s="22">
        <v>0</v>
      </c>
      <c r="CB8" s="22">
        <f t="shared" si="47"/>
        <v>0</v>
      </c>
      <c r="CC8" s="23" t="str">
        <f>IF(SUMPRODUCT($J$69:CB$69,$J8:CB8)&lt;0.5, "Pending", IF(CB8&lt;0.5, "Complete", "In Progress"))</f>
        <v>Complete</v>
      </c>
      <c r="CD8" s="24"/>
      <c r="CE8" s="25">
        <f>SUMPRODUCT($H$69:AY$69,$H8:AY8)</f>
        <v>6</v>
      </c>
    </row>
    <row r="9" spans="1:83" ht="12.75" customHeight="1" x14ac:dyDescent="0.2">
      <c r="A9" s="16" t="s">
        <v>105</v>
      </c>
      <c r="B9" s="16" t="s">
        <v>136</v>
      </c>
      <c r="C9" s="16"/>
      <c r="D9" s="17"/>
      <c r="E9" s="177" t="s">
        <v>146</v>
      </c>
      <c r="F9" s="18" t="s">
        <v>129</v>
      </c>
      <c r="G9" s="19" t="e">
        <f t="shared" ca="1" si="23"/>
        <v>#REF!</v>
      </c>
      <c r="H9" s="20">
        <v>1</v>
      </c>
      <c r="I9" s="21">
        <v>3</v>
      </c>
      <c r="J9" s="22">
        <v>0</v>
      </c>
      <c r="K9" s="22">
        <f t="shared" si="24"/>
        <v>3</v>
      </c>
      <c r="L9" s="23" t="str">
        <f>IF(SUMPRODUCT($J$69:K$69,$J9:K9)&lt;0.5, "Pending", IF(K9&lt;0.5, "Complete", "In Progress"))</f>
        <v>Pending</v>
      </c>
      <c r="M9" s="22">
        <v>0</v>
      </c>
      <c r="N9" s="22">
        <f t="shared" si="25"/>
        <v>3</v>
      </c>
      <c r="O9" s="23" t="str">
        <f>IF(SUMPRODUCT($J$69:N$69,$J9:N9)&lt;0.5, "Pending", IF(N9&lt;0.5, "Complete", "In Progress"))</f>
        <v>Pending</v>
      </c>
      <c r="P9" s="22">
        <v>2</v>
      </c>
      <c r="Q9" s="22">
        <f t="shared" si="26"/>
        <v>1</v>
      </c>
      <c r="R9" s="23" t="str">
        <f>IF(SUMPRODUCT($J$69:Q$69,$J9:Q9)&lt;0.5, "Pending", IF(Q9&lt;0.5, "Complete", "In Progress"))</f>
        <v>In Progress</v>
      </c>
      <c r="S9" s="22">
        <v>1</v>
      </c>
      <c r="T9" s="22">
        <f t="shared" si="27"/>
        <v>0</v>
      </c>
      <c r="U9" s="23" t="str">
        <f>IF(SUMPRODUCT($J$69:T$69,$J9:T9)&lt;0.5, "Pending", IF(T9&lt;0.5, "Complete", "In Progress"))</f>
        <v>Complete</v>
      </c>
      <c r="V9" s="22">
        <v>0</v>
      </c>
      <c r="W9" s="22">
        <f t="shared" si="28"/>
        <v>0</v>
      </c>
      <c r="X9" s="23" t="str">
        <f>IF(SUMPRODUCT($J$69:W$69,$J9:W9)&lt;0.5, "Pending", IF(W9&lt;0.5, "Complete", "In Progress"))</f>
        <v>Complete</v>
      </c>
      <c r="Y9" s="22">
        <v>0</v>
      </c>
      <c r="Z9" s="22">
        <f t="shared" si="29"/>
        <v>0</v>
      </c>
      <c r="AA9" s="23" t="str">
        <f>IF(SUMPRODUCT($J$69:Z$69,$J9:Z9)&lt;0.5, "Pending", IF(Z9&lt;0.5, "Complete", "In Progress"))</f>
        <v>Complete</v>
      </c>
      <c r="AB9" s="22">
        <v>0</v>
      </c>
      <c r="AC9" s="22">
        <f t="shared" si="30"/>
        <v>0</v>
      </c>
      <c r="AD9" s="23" t="str">
        <f>IF(SUMPRODUCT($J$69:AC$69,$J9:AC9)&lt;0.5, "Pending", IF(AC9&lt;0.5, "Complete", "In Progress"))</f>
        <v>Complete</v>
      </c>
      <c r="AE9" s="22">
        <v>0</v>
      </c>
      <c r="AF9" s="22">
        <f t="shared" si="31"/>
        <v>0</v>
      </c>
      <c r="AG9" s="23" t="str">
        <f>IF(SUMPRODUCT($J$69:AF$69,$J9:AF9)&lt;0.5, "Pending", IF(AF9&lt;0.5, "Complete", "In Progress"))</f>
        <v>Complete</v>
      </c>
      <c r="AH9" s="22">
        <v>0</v>
      </c>
      <c r="AI9" s="22">
        <f t="shared" si="32"/>
        <v>0</v>
      </c>
      <c r="AJ9" s="23" t="str">
        <f>IF(SUMPRODUCT($J$69:AI$69,$J9:AI9)&lt;0.5, "Pending", IF(AI9&lt;0.5, "Complete", "In Progress"))</f>
        <v>Complete</v>
      </c>
      <c r="AK9" s="22">
        <v>0</v>
      </c>
      <c r="AL9" s="22">
        <f t="shared" si="33"/>
        <v>0</v>
      </c>
      <c r="AM9" s="23" t="str">
        <f>IF(SUMPRODUCT($J$69:AL$69,$J9:AL9)&lt;0.5, "Pending", IF(AL9&lt;0.5, "Complete", "In Progress"))</f>
        <v>Complete</v>
      </c>
      <c r="AN9" s="22">
        <v>0</v>
      </c>
      <c r="AO9" s="22">
        <f t="shared" si="34"/>
        <v>0</v>
      </c>
      <c r="AP9" s="23" t="str">
        <f>IF(SUMPRODUCT($J$69:AO$69,$J9:AO9)&lt;0.5, "Pending", IF(AO9&lt;0.5, "Complete", "In Progress"))</f>
        <v>Complete</v>
      </c>
      <c r="AQ9" s="22">
        <v>0</v>
      </c>
      <c r="AR9" s="22">
        <f t="shared" si="35"/>
        <v>0</v>
      </c>
      <c r="AS9" s="23" t="str">
        <f>IF(SUMPRODUCT($J$69:AR$69,$J9:AR9)&lt;0.5, "Pending", IF(AR9&lt;0.5, "Complete", "In Progress"))</f>
        <v>Complete</v>
      </c>
      <c r="AT9" s="22">
        <v>0</v>
      </c>
      <c r="AU9" s="22">
        <f t="shared" si="36"/>
        <v>0</v>
      </c>
      <c r="AV9" s="23" t="str">
        <f>IF(SUMPRODUCT($J$69:AU$69,$J9:AU9)&lt;0.5, "Pending", IF(AU9&lt;0.5, "Complete", "In Progress"))</f>
        <v>Complete</v>
      </c>
      <c r="AW9" s="22">
        <v>0</v>
      </c>
      <c r="AX9" s="22">
        <f t="shared" si="37"/>
        <v>0</v>
      </c>
      <c r="AY9" s="23" t="str">
        <f>IF(SUMPRODUCT($J$69:AX$69,$J9:AX9)&lt;0.5, "Pending", IF(AX9&lt;0.5, "Complete", "In Progress"))</f>
        <v>Complete</v>
      </c>
      <c r="AZ9" s="22">
        <v>0</v>
      </c>
      <c r="BA9" s="22">
        <f t="shared" si="38"/>
        <v>0</v>
      </c>
      <c r="BB9" s="23" t="str">
        <f>IF(SUMPRODUCT($J$69:BA$69,$J9:BA9)&lt;0.5, "Pending", IF(BA9&lt;0.5, "Complete", "In Progress"))</f>
        <v>Complete</v>
      </c>
      <c r="BC9" s="22">
        <v>0</v>
      </c>
      <c r="BD9" s="22">
        <f t="shared" si="39"/>
        <v>0</v>
      </c>
      <c r="BE9" s="23" t="str">
        <f>IF(SUMPRODUCT($J$69:BD$69,$J9:BD9)&lt;0.5, "Pending", IF(BD9&lt;0.5, "Complete", "In Progress"))</f>
        <v>Complete</v>
      </c>
      <c r="BF9" s="22">
        <v>0</v>
      </c>
      <c r="BG9" s="22">
        <f t="shared" si="40"/>
        <v>0</v>
      </c>
      <c r="BH9" s="23" t="str">
        <f>IF(SUMPRODUCT($J$69:BG$69,$J9:BG9)&lt;0.5, "Pending", IF(BG9&lt;0.5, "Complete", "In Progress"))</f>
        <v>Complete</v>
      </c>
      <c r="BI9" s="22">
        <v>0</v>
      </c>
      <c r="BJ9" s="22">
        <f t="shared" si="41"/>
        <v>0</v>
      </c>
      <c r="BK9" s="23" t="str">
        <f>IF(SUMPRODUCT($J$69:BJ$69,$J9:BJ9)&lt;0.5, "Pending", IF(BJ9&lt;0.5, "Complete", "In Progress"))</f>
        <v>Complete</v>
      </c>
      <c r="BL9" s="22">
        <v>0</v>
      </c>
      <c r="BM9" s="22">
        <f t="shared" si="42"/>
        <v>0</v>
      </c>
      <c r="BN9" s="23" t="str">
        <f>IF(SUMPRODUCT($J$69:BM$69,$J9:BM9)&lt;0.5, "Pending", IF(BM9&lt;0.5, "Complete", "In Progress"))</f>
        <v>Complete</v>
      </c>
      <c r="BO9" s="22">
        <v>0</v>
      </c>
      <c r="BP9" s="22">
        <f t="shared" si="43"/>
        <v>0</v>
      </c>
      <c r="BQ9" s="23" t="str">
        <f>IF(SUMPRODUCT($J$69:BP$69,$J9:BP9)&lt;0.5, "Pending", IF(BP9&lt;0.5, "Complete", "In Progress"))</f>
        <v>Complete</v>
      </c>
      <c r="BR9" s="22">
        <v>0</v>
      </c>
      <c r="BS9" s="22">
        <f t="shared" si="44"/>
        <v>0</v>
      </c>
      <c r="BT9" s="23" t="str">
        <f>IF(SUMPRODUCT($J$69:BS$69,$J9:BS9)&lt;0.5, "Pending", IF(BS9&lt;0.5, "Complete", "In Progress"))</f>
        <v>Complete</v>
      </c>
      <c r="BU9" s="22">
        <v>0</v>
      </c>
      <c r="BV9" s="22">
        <f t="shared" si="45"/>
        <v>0</v>
      </c>
      <c r="BW9" s="23" t="str">
        <f>IF(SUMPRODUCT($J$69:BV$69,$J9:BV9)&lt;0.5, "Pending", IF(BV9&lt;0.5, "Complete", "In Progress"))</f>
        <v>Complete</v>
      </c>
      <c r="BX9" s="22">
        <v>0</v>
      </c>
      <c r="BY9" s="22">
        <f t="shared" si="46"/>
        <v>0</v>
      </c>
      <c r="BZ9" s="23" t="str">
        <f>IF(SUMPRODUCT($J$69:BY$69,$J9:BY9)&lt;0.5, "Pending", IF(BY9&lt;0.5, "Complete", "In Progress"))</f>
        <v>Complete</v>
      </c>
      <c r="CA9" s="22">
        <v>0</v>
      </c>
      <c r="CB9" s="22">
        <f t="shared" si="47"/>
        <v>0</v>
      </c>
      <c r="CC9" s="23" t="str">
        <f>IF(SUMPRODUCT($J$69:CB$69,$J9:CB9)&lt;0.5, "Pending", IF(CB9&lt;0.5, "Complete", "In Progress"))</f>
        <v>Complete</v>
      </c>
      <c r="CD9" s="24"/>
      <c r="CE9" s="25">
        <f>SUMPRODUCT($H$69:AY$69,$H9:AY9)</f>
        <v>3</v>
      </c>
    </row>
    <row r="10" spans="1:83" ht="12.75" customHeight="1" x14ac:dyDescent="0.2">
      <c r="A10" s="16" t="s">
        <v>107</v>
      </c>
      <c r="B10" s="16" t="s">
        <v>143</v>
      </c>
      <c r="C10" s="16"/>
      <c r="D10" s="17"/>
      <c r="E10" s="177" t="s">
        <v>146</v>
      </c>
      <c r="F10" s="18" t="s">
        <v>131</v>
      </c>
      <c r="G10" s="19" t="e">
        <f t="shared" ca="1" si="23"/>
        <v>#REF!</v>
      </c>
      <c r="H10" s="20">
        <v>1</v>
      </c>
      <c r="I10" s="21">
        <v>1</v>
      </c>
      <c r="J10" s="22">
        <v>0</v>
      </c>
      <c r="K10" s="22">
        <f t="shared" si="24"/>
        <v>1</v>
      </c>
      <c r="L10" s="23" t="str">
        <f>IF(SUMPRODUCT($J$69:K$69,$J10:K10)&lt;0.5, "Pending", IF(K10&lt;0.5, "Complete", "In Progress"))</f>
        <v>Pending</v>
      </c>
      <c r="M10" s="22">
        <v>0</v>
      </c>
      <c r="N10" s="22">
        <f t="shared" si="25"/>
        <v>1</v>
      </c>
      <c r="O10" s="23" t="str">
        <f>IF(SUMPRODUCT($J$69:N$69,$J10:N10)&lt;0.5, "Pending", IF(N10&lt;0.5, "Complete", "In Progress"))</f>
        <v>Pending</v>
      </c>
      <c r="P10" s="22">
        <v>1</v>
      </c>
      <c r="Q10" s="22">
        <f t="shared" si="26"/>
        <v>0</v>
      </c>
      <c r="R10" s="23" t="str">
        <f>IF(SUMPRODUCT($J$69:Q$69,$J10:Q10)&lt;0.5, "Pending", IF(Q10&lt;0.5, "Complete", "In Progress"))</f>
        <v>Complete</v>
      </c>
      <c r="S10" s="22">
        <v>0</v>
      </c>
      <c r="T10" s="22">
        <f t="shared" si="27"/>
        <v>0</v>
      </c>
      <c r="U10" s="23" t="str">
        <f>IF(SUMPRODUCT($J$69:T$69,$J10:T10)&lt;0.5, "Pending", IF(T10&lt;0.5, "Complete", "In Progress"))</f>
        <v>Complete</v>
      </c>
      <c r="V10" s="22">
        <v>0</v>
      </c>
      <c r="W10" s="22">
        <f t="shared" si="28"/>
        <v>0</v>
      </c>
      <c r="X10" s="23" t="str">
        <f>IF(SUMPRODUCT($J$69:W$69,$J10:W10)&lt;0.5, "Pending", IF(W10&lt;0.5, "Complete", "In Progress"))</f>
        <v>Complete</v>
      </c>
      <c r="Y10" s="22">
        <v>0</v>
      </c>
      <c r="Z10" s="22">
        <f t="shared" si="29"/>
        <v>0</v>
      </c>
      <c r="AA10" s="23" t="str">
        <f>IF(SUMPRODUCT($J$69:Z$69,$J10:Z10)&lt;0.5, "Pending", IF(Z10&lt;0.5, "Complete", "In Progress"))</f>
        <v>Complete</v>
      </c>
      <c r="AB10" s="22">
        <v>0</v>
      </c>
      <c r="AC10" s="22">
        <f t="shared" si="30"/>
        <v>0</v>
      </c>
      <c r="AD10" s="23" t="str">
        <f>IF(SUMPRODUCT($J$69:AC$69,$J10:AC10)&lt;0.5, "Pending", IF(AC10&lt;0.5, "Complete", "In Progress"))</f>
        <v>Complete</v>
      </c>
      <c r="AE10" s="22">
        <v>0</v>
      </c>
      <c r="AF10" s="22">
        <f t="shared" si="31"/>
        <v>0</v>
      </c>
      <c r="AG10" s="23" t="str">
        <f>IF(SUMPRODUCT($J$69:AF$69,$J10:AF10)&lt;0.5, "Pending", IF(AF10&lt;0.5, "Complete", "In Progress"))</f>
        <v>Complete</v>
      </c>
      <c r="AH10" s="22">
        <v>0</v>
      </c>
      <c r="AI10" s="22">
        <f t="shared" si="32"/>
        <v>0</v>
      </c>
      <c r="AJ10" s="23" t="str">
        <f>IF(SUMPRODUCT($J$69:AI$69,$J10:AI10)&lt;0.5, "Pending", IF(AI10&lt;0.5, "Complete", "In Progress"))</f>
        <v>Complete</v>
      </c>
      <c r="AK10" s="22">
        <v>0</v>
      </c>
      <c r="AL10" s="22">
        <f t="shared" si="33"/>
        <v>0</v>
      </c>
      <c r="AM10" s="23" t="str">
        <f>IF(SUMPRODUCT($J$69:AL$69,$J10:AL10)&lt;0.5, "Pending", IF(AL10&lt;0.5, "Complete", "In Progress"))</f>
        <v>Complete</v>
      </c>
      <c r="AN10" s="22">
        <v>0</v>
      </c>
      <c r="AO10" s="22">
        <f t="shared" si="34"/>
        <v>0</v>
      </c>
      <c r="AP10" s="23" t="str">
        <f>IF(SUMPRODUCT($J$69:AO$69,$J10:AO10)&lt;0.5, "Pending", IF(AO10&lt;0.5, "Complete", "In Progress"))</f>
        <v>Complete</v>
      </c>
      <c r="AQ10" s="22">
        <v>0</v>
      </c>
      <c r="AR10" s="22">
        <f t="shared" si="35"/>
        <v>0</v>
      </c>
      <c r="AS10" s="23" t="str">
        <f>IF(SUMPRODUCT($J$69:AR$69,$J10:AR10)&lt;0.5, "Pending", IF(AR10&lt;0.5, "Complete", "In Progress"))</f>
        <v>Complete</v>
      </c>
      <c r="AT10" s="22">
        <v>0</v>
      </c>
      <c r="AU10" s="22">
        <f t="shared" si="36"/>
        <v>0</v>
      </c>
      <c r="AV10" s="23" t="str">
        <f>IF(SUMPRODUCT($J$69:AU$69,$J10:AU10)&lt;0.5, "Pending", IF(AU10&lt;0.5, "Complete", "In Progress"))</f>
        <v>Complete</v>
      </c>
      <c r="AW10" s="22">
        <v>0</v>
      </c>
      <c r="AX10" s="22">
        <f t="shared" si="37"/>
        <v>0</v>
      </c>
      <c r="AY10" s="23" t="str">
        <f>IF(SUMPRODUCT($J$69:AX$69,$J10:AX10)&lt;0.5, "Pending", IF(AX10&lt;0.5, "Complete", "In Progress"))</f>
        <v>Complete</v>
      </c>
      <c r="AZ10" s="22">
        <v>0</v>
      </c>
      <c r="BA10" s="22">
        <f t="shared" si="38"/>
        <v>0</v>
      </c>
      <c r="BB10" s="23" t="str">
        <f>IF(SUMPRODUCT($J$69:BA$69,$J10:BA10)&lt;0.5, "Pending", IF(BA10&lt;0.5, "Complete", "In Progress"))</f>
        <v>Complete</v>
      </c>
      <c r="BC10" s="22">
        <v>0</v>
      </c>
      <c r="BD10" s="22">
        <f t="shared" si="39"/>
        <v>0</v>
      </c>
      <c r="BE10" s="23" t="str">
        <f>IF(SUMPRODUCT($J$69:BD$69,$J10:BD10)&lt;0.5, "Pending", IF(BD10&lt;0.5, "Complete", "In Progress"))</f>
        <v>Complete</v>
      </c>
      <c r="BF10" s="22">
        <v>0</v>
      </c>
      <c r="BG10" s="22">
        <f t="shared" si="40"/>
        <v>0</v>
      </c>
      <c r="BH10" s="23" t="str">
        <f>IF(SUMPRODUCT($J$69:BG$69,$J10:BG10)&lt;0.5, "Pending", IF(BG10&lt;0.5, "Complete", "In Progress"))</f>
        <v>Complete</v>
      </c>
      <c r="BI10" s="22">
        <v>0</v>
      </c>
      <c r="BJ10" s="22">
        <f t="shared" si="41"/>
        <v>0</v>
      </c>
      <c r="BK10" s="23" t="str">
        <f>IF(SUMPRODUCT($J$69:BJ$69,$J10:BJ10)&lt;0.5, "Pending", IF(BJ10&lt;0.5, "Complete", "In Progress"))</f>
        <v>Complete</v>
      </c>
      <c r="BL10" s="22">
        <v>0</v>
      </c>
      <c r="BM10" s="22">
        <f t="shared" si="42"/>
        <v>0</v>
      </c>
      <c r="BN10" s="23" t="str">
        <f>IF(SUMPRODUCT($J$69:BM$69,$J10:BM10)&lt;0.5, "Pending", IF(BM10&lt;0.5, "Complete", "In Progress"))</f>
        <v>Complete</v>
      </c>
      <c r="BO10" s="22">
        <v>0</v>
      </c>
      <c r="BP10" s="22">
        <f t="shared" si="43"/>
        <v>0</v>
      </c>
      <c r="BQ10" s="23" t="str">
        <f>IF(SUMPRODUCT($J$69:BP$69,$J10:BP10)&lt;0.5, "Pending", IF(BP10&lt;0.5, "Complete", "In Progress"))</f>
        <v>Complete</v>
      </c>
      <c r="BR10" s="22">
        <v>0</v>
      </c>
      <c r="BS10" s="22">
        <f t="shared" si="44"/>
        <v>0</v>
      </c>
      <c r="BT10" s="23" t="str">
        <f>IF(SUMPRODUCT($J$69:BS$69,$J10:BS10)&lt;0.5, "Pending", IF(BS10&lt;0.5, "Complete", "In Progress"))</f>
        <v>Complete</v>
      </c>
      <c r="BU10" s="22">
        <v>0</v>
      </c>
      <c r="BV10" s="22">
        <f t="shared" si="45"/>
        <v>0</v>
      </c>
      <c r="BW10" s="23" t="str">
        <f>IF(SUMPRODUCT($J$69:BV$69,$J10:BV10)&lt;0.5, "Pending", IF(BV10&lt;0.5, "Complete", "In Progress"))</f>
        <v>Complete</v>
      </c>
      <c r="BX10" s="22">
        <v>0</v>
      </c>
      <c r="BY10" s="22">
        <f t="shared" si="46"/>
        <v>0</v>
      </c>
      <c r="BZ10" s="23" t="str">
        <f>IF(SUMPRODUCT($J$69:BY$69,$J10:BY10)&lt;0.5, "Pending", IF(BY10&lt;0.5, "Complete", "In Progress"))</f>
        <v>Complete</v>
      </c>
      <c r="CA10" s="22">
        <v>0</v>
      </c>
      <c r="CB10" s="22">
        <f t="shared" si="47"/>
        <v>0</v>
      </c>
      <c r="CC10" s="23" t="str">
        <f>IF(SUMPRODUCT($J$69:CB$69,$J10:CB10)&lt;0.5, "Pending", IF(CB10&lt;0.5, "Complete", "In Progress"))</f>
        <v>Complete</v>
      </c>
      <c r="CD10" s="24"/>
      <c r="CE10" s="25">
        <f>SUMPRODUCT($H$69:AY$69,$H10:AY10)</f>
        <v>1</v>
      </c>
    </row>
    <row r="11" spans="1:83" ht="12.75" customHeight="1" x14ac:dyDescent="0.2">
      <c r="A11" s="16" t="s">
        <v>105</v>
      </c>
      <c r="B11" s="16" t="s">
        <v>136</v>
      </c>
      <c r="C11" s="16"/>
      <c r="D11" s="17"/>
      <c r="E11" s="177" t="s">
        <v>147</v>
      </c>
      <c r="F11" s="18" t="s">
        <v>132</v>
      </c>
      <c r="G11" s="19" t="e">
        <f t="shared" ca="1" si="23"/>
        <v>#REF!</v>
      </c>
      <c r="H11" s="20">
        <v>1</v>
      </c>
      <c r="I11" s="21">
        <v>16</v>
      </c>
      <c r="J11" s="22">
        <v>0</v>
      </c>
      <c r="K11" s="22">
        <v>9</v>
      </c>
      <c r="L11" s="23" t="str">
        <f>IF(SUMPRODUCT($J$69:K$69,$J11:K11)&lt;0.5, "Pending", IF(K11&lt;0.5, "Complete", "In Progress"))</f>
        <v>Pending</v>
      </c>
      <c r="M11" s="22">
        <v>0</v>
      </c>
      <c r="N11" s="22">
        <v>7</v>
      </c>
      <c r="O11" s="23" t="str">
        <f>IF(SUMPRODUCT($J$69:N$69,$J11:N11)&lt;0.5, "Pending", IF(N11&lt;0.5, "Complete", "In Progress"))</f>
        <v>Pending</v>
      </c>
      <c r="P11" s="22">
        <v>7</v>
      </c>
      <c r="Q11" s="22">
        <f t="shared" si="26"/>
        <v>0</v>
      </c>
      <c r="R11" s="23" t="str">
        <f>IF(SUMPRODUCT($J$69:Q$69,$J11:Q11)&lt;0.5, "Pending", IF(Q11&lt;0.5, "Complete", "In Progress"))</f>
        <v>Complete</v>
      </c>
      <c r="S11" s="22">
        <v>0</v>
      </c>
      <c r="T11" s="22">
        <f t="shared" si="27"/>
        <v>0</v>
      </c>
      <c r="U11" s="23" t="str">
        <f>IF(SUMPRODUCT($J$69:T$69,$J11:T11)&lt;0.5, "Pending", IF(T11&lt;0.5, "Complete", "In Progress"))</f>
        <v>Complete</v>
      </c>
      <c r="V11" s="22">
        <v>0</v>
      </c>
      <c r="W11" s="22">
        <f t="shared" si="28"/>
        <v>0</v>
      </c>
      <c r="X11" s="23" t="str">
        <f>IF(SUMPRODUCT($J$69:W$69,$J11:W11)&lt;0.5, "Pending", IF(W11&lt;0.5, "Complete", "In Progress"))</f>
        <v>Complete</v>
      </c>
      <c r="Y11" s="22">
        <v>0</v>
      </c>
      <c r="Z11" s="22">
        <f t="shared" si="29"/>
        <v>0</v>
      </c>
      <c r="AA11" s="23" t="str">
        <f>IF(SUMPRODUCT($J$69:Z$69,$J11:Z11)&lt;0.5, "Pending", IF(Z11&lt;0.5, "Complete", "In Progress"))</f>
        <v>Complete</v>
      </c>
      <c r="AB11" s="22">
        <v>0</v>
      </c>
      <c r="AC11" s="22">
        <f t="shared" si="30"/>
        <v>0</v>
      </c>
      <c r="AD11" s="23" t="str">
        <f>IF(SUMPRODUCT($J$69:AC$69,$J11:AC11)&lt;0.5, "Pending", IF(AC11&lt;0.5, "Complete", "In Progress"))</f>
        <v>Complete</v>
      </c>
      <c r="AE11" s="22">
        <v>0</v>
      </c>
      <c r="AF11" s="22">
        <f t="shared" si="31"/>
        <v>0</v>
      </c>
      <c r="AG11" s="23" t="str">
        <f>IF(SUMPRODUCT($J$69:AF$69,$J11:AF11)&lt;0.5, "Pending", IF(AF11&lt;0.5, "Complete", "In Progress"))</f>
        <v>Complete</v>
      </c>
      <c r="AH11" s="22">
        <v>0</v>
      </c>
      <c r="AI11" s="22">
        <f t="shared" si="32"/>
        <v>0</v>
      </c>
      <c r="AJ11" s="23" t="str">
        <f>IF(SUMPRODUCT($J$69:AI$69,$J11:AI11)&lt;0.5, "Pending", IF(AI11&lt;0.5, "Complete", "In Progress"))</f>
        <v>Complete</v>
      </c>
      <c r="AK11" s="22">
        <v>0</v>
      </c>
      <c r="AL11" s="22">
        <f t="shared" si="33"/>
        <v>0</v>
      </c>
      <c r="AM11" s="23" t="str">
        <f>IF(SUMPRODUCT($J$69:AL$69,$J11:AL11)&lt;0.5, "Pending", IF(AL11&lt;0.5, "Complete", "In Progress"))</f>
        <v>Complete</v>
      </c>
      <c r="AN11" s="22">
        <v>0</v>
      </c>
      <c r="AO11" s="22">
        <f t="shared" si="34"/>
        <v>0</v>
      </c>
      <c r="AP11" s="23" t="str">
        <f>IF(SUMPRODUCT($J$69:AO$69,$J11:AO11)&lt;0.5, "Pending", IF(AO11&lt;0.5, "Complete", "In Progress"))</f>
        <v>Complete</v>
      </c>
      <c r="AQ11" s="22">
        <v>0</v>
      </c>
      <c r="AR11" s="22">
        <f t="shared" si="35"/>
        <v>0</v>
      </c>
      <c r="AS11" s="23" t="str">
        <f>IF(SUMPRODUCT($J$69:AR$69,$J11:AR11)&lt;0.5, "Pending", IF(AR11&lt;0.5, "Complete", "In Progress"))</f>
        <v>Complete</v>
      </c>
      <c r="AT11" s="22">
        <v>0</v>
      </c>
      <c r="AU11" s="22">
        <f t="shared" si="36"/>
        <v>0</v>
      </c>
      <c r="AV11" s="23" t="str">
        <f>IF(SUMPRODUCT($J$69:AU$69,$J11:AU11)&lt;0.5, "Pending", IF(AU11&lt;0.5, "Complete", "In Progress"))</f>
        <v>Complete</v>
      </c>
      <c r="AW11" s="22">
        <v>0</v>
      </c>
      <c r="AX11" s="22">
        <f t="shared" si="37"/>
        <v>0</v>
      </c>
      <c r="AY11" s="23" t="str">
        <f>IF(SUMPRODUCT($J$69:AX$69,$J11:AX11)&lt;0.5, "Pending", IF(AX11&lt;0.5, "Complete", "In Progress"))</f>
        <v>Complete</v>
      </c>
      <c r="AZ11" s="22">
        <v>0</v>
      </c>
      <c r="BA11" s="22">
        <f t="shared" si="38"/>
        <v>0</v>
      </c>
      <c r="BB11" s="23" t="str">
        <f>IF(SUMPRODUCT($J$69:BA$69,$J11:BA11)&lt;0.5, "Pending", IF(BA11&lt;0.5, "Complete", "In Progress"))</f>
        <v>Complete</v>
      </c>
      <c r="BC11" s="22">
        <v>0</v>
      </c>
      <c r="BD11" s="22">
        <f t="shared" si="39"/>
        <v>0</v>
      </c>
      <c r="BE11" s="23" t="str">
        <f>IF(SUMPRODUCT($J$69:BD$69,$J11:BD11)&lt;0.5, "Pending", IF(BD11&lt;0.5, "Complete", "In Progress"))</f>
        <v>Complete</v>
      </c>
      <c r="BF11" s="22">
        <v>0</v>
      </c>
      <c r="BG11" s="22">
        <f t="shared" si="40"/>
        <v>0</v>
      </c>
      <c r="BH11" s="23" t="str">
        <f>IF(SUMPRODUCT($J$69:BG$69,$J11:BG11)&lt;0.5, "Pending", IF(BG11&lt;0.5, "Complete", "In Progress"))</f>
        <v>Complete</v>
      </c>
      <c r="BI11" s="22">
        <v>0</v>
      </c>
      <c r="BJ11" s="22">
        <f t="shared" si="41"/>
        <v>0</v>
      </c>
      <c r="BK11" s="23" t="str">
        <f>IF(SUMPRODUCT($J$69:BJ$69,$J11:BJ11)&lt;0.5, "Pending", IF(BJ11&lt;0.5, "Complete", "In Progress"))</f>
        <v>Complete</v>
      </c>
      <c r="BL11" s="22">
        <v>0</v>
      </c>
      <c r="BM11" s="22">
        <f t="shared" si="42"/>
        <v>0</v>
      </c>
      <c r="BN11" s="23" t="str">
        <f>IF(SUMPRODUCT($J$69:BM$69,$J11:BM11)&lt;0.5, "Pending", IF(BM11&lt;0.5, "Complete", "In Progress"))</f>
        <v>Complete</v>
      </c>
      <c r="BO11" s="22">
        <v>0</v>
      </c>
      <c r="BP11" s="22">
        <f t="shared" si="43"/>
        <v>0</v>
      </c>
      <c r="BQ11" s="23" t="str">
        <f>IF(SUMPRODUCT($J$69:BP$69,$J11:BP11)&lt;0.5, "Pending", IF(BP11&lt;0.5, "Complete", "In Progress"))</f>
        <v>Complete</v>
      </c>
      <c r="BR11" s="22">
        <v>0</v>
      </c>
      <c r="BS11" s="22">
        <f t="shared" si="44"/>
        <v>0</v>
      </c>
      <c r="BT11" s="23" t="str">
        <f>IF(SUMPRODUCT($J$69:BS$69,$J11:BS11)&lt;0.5, "Pending", IF(BS11&lt;0.5, "Complete", "In Progress"))</f>
        <v>Complete</v>
      </c>
      <c r="BU11" s="22">
        <v>0</v>
      </c>
      <c r="BV11" s="22">
        <f t="shared" si="45"/>
        <v>0</v>
      </c>
      <c r="BW11" s="23" t="str">
        <f>IF(SUMPRODUCT($J$69:BV$69,$J11:BV11)&lt;0.5, "Pending", IF(BV11&lt;0.5, "Complete", "In Progress"))</f>
        <v>Complete</v>
      </c>
      <c r="BX11" s="22">
        <v>0</v>
      </c>
      <c r="BY11" s="22">
        <f t="shared" si="46"/>
        <v>0</v>
      </c>
      <c r="BZ11" s="23" t="str">
        <f>IF(SUMPRODUCT($J$69:BY$69,$J11:BY11)&lt;0.5, "Pending", IF(BY11&lt;0.5, "Complete", "In Progress"))</f>
        <v>Complete</v>
      </c>
      <c r="CA11" s="22">
        <v>0</v>
      </c>
      <c r="CB11" s="22">
        <f t="shared" si="47"/>
        <v>0</v>
      </c>
      <c r="CC11" s="23" t="str">
        <f>IF(SUMPRODUCT($J$69:CB$69,$J11:CB11)&lt;0.5, "Pending", IF(CB11&lt;0.5, "Complete", "In Progress"))</f>
        <v>Complete</v>
      </c>
      <c r="CD11" s="24"/>
      <c r="CE11" s="25">
        <f>SUMPRODUCT($H$69:AY$69,$H11:AY11)</f>
        <v>7</v>
      </c>
    </row>
    <row r="12" spans="1:83" ht="12.75" customHeight="1" x14ac:dyDescent="0.2">
      <c r="A12" s="16" t="s">
        <v>107</v>
      </c>
      <c r="B12" s="16" t="s">
        <v>135</v>
      </c>
      <c r="D12" s="17"/>
      <c r="E12" s="177" t="s">
        <v>148</v>
      </c>
      <c r="F12" s="18" t="s">
        <v>131</v>
      </c>
      <c r="G12" s="19" t="e">
        <f t="shared" ca="1" si="23"/>
        <v>#REF!</v>
      </c>
      <c r="H12" s="20">
        <v>1</v>
      </c>
      <c r="I12" s="21">
        <v>3</v>
      </c>
      <c r="J12" s="22">
        <v>0</v>
      </c>
      <c r="K12" s="22">
        <f t="shared" si="24"/>
        <v>3</v>
      </c>
      <c r="L12" s="23" t="str">
        <f>IF(SUMPRODUCT($J$69:K$69,$J12:K12)&lt;0.5, "Pending", IF(K12&lt;0.5, "Complete", "In Progress"))</f>
        <v>Pending</v>
      </c>
      <c r="M12" s="22">
        <v>0</v>
      </c>
      <c r="N12" s="22">
        <f t="shared" si="25"/>
        <v>3</v>
      </c>
      <c r="O12" s="23" t="str">
        <f>IF(SUMPRODUCT($J$69:N$69,$J12:N12)&lt;0.5, "Pending", IF(N12&lt;0.5, "Complete", "In Progress"))</f>
        <v>Pending</v>
      </c>
      <c r="P12" s="22">
        <v>0</v>
      </c>
      <c r="Q12" s="22">
        <f t="shared" si="26"/>
        <v>3</v>
      </c>
      <c r="R12" s="23" t="str">
        <f>IF(SUMPRODUCT($J$69:Q$69,$J12:Q12)&lt;0.5, "Pending", IF(Q12&lt;0.5, "Complete", "In Progress"))</f>
        <v>Pending</v>
      </c>
      <c r="S12" s="22">
        <v>3</v>
      </c>
      <c r="T12" s="22">
        <f t="shared" si="27"/>
        <v>0</v>
      </c>
      <c r="U12" s="23" t="str">
        <f>IF(SUMPRODUCT($J$69:T$69,$J12:T12)&lt;0.5, "Pending", IF(T12&lt;0.5, "Complete", "In Progress"))</f>
        <v>Complete</v>
      </c>
      <c r="V12" s="22">
        <v>0</v>
      </c>
      <c r="W12" s="22">
        <f t="shared" si="28"/>
        <v>0</v>
      </c>
      <c r="X12" s="23" t="str">
        <f>IF(SUMPRODUCT($J$69:W$69,$J12:W12)&lt;0.5, "Pending", IF(W12&lt;0.5, "Complete", "In Progress"))</f>
        <v>Complete</v>
      </c>
      <c r="Y12" s="22">
        <v>0</v>
      </c>
      <c r="Z12" s="22">
        <f t="shared" si="29"/>
        <v>0</v>
      </c>
      <c r="AA12" s="23" t="str">
        <f>IF(SUMPRODUCT($J$69:Z$69,$J12:Z12)&lt;0.5, "Pending", IF(Z12&lt;0.5, "Complete", "In Progress"))</f>
        <v>Complete</v>
      </c>
      <c r="AB12" s="22">
        <v>0</v>
      </c>
      <c r="AC12" s="22">
        <f t="shared" si="30"/>
        <v>0</v>
      </c>
      <c r="AD12" s="23" t="str">
        <f>IF(SUMPRODUCT($J$69:AC$69,$J12:AC12)&lt;0.5, "Pending", IF(AC12&lt;0.5, "Complete", "In Progress"))</f>
        <v>Complete</v>
      </c>
      <c r="AE12" s="22">
        <v>0</v>
      </c>
      <c r="AF12" s="22">
        <f t="shared" si="31"/>
        <v>0</v>
      </c>
      <c r="AG12" s="23" t="str">
        <f>IF(SUMPRODUCT($J$69:AF$69,$J12:AF12)&lt;0.5, "Pending", IF(AF12&lt;0.5, "Complete", "In Progress"))</f>
        <v>Complete</v>
      </c>
      <c r="AH12" s="22">
        <v>0</v>
      </c>
      <c r="AI12" s="22">
        <f t="shared" si="32"/>
        <v>0</v>
      </c>
      <c r="AJ12" s="23" t="str">
        <f>IF(SUMPRODUCT($J$69:AI$69,$J12:AI12)&lt;0.5, "Pending", IF(AI12&lt;0.5, "Complete", "In Progress"))</f>
        <v>Complete</v>
      </c>
      <c r="AK12" s="22">
        <v>0</v>
      </c>
      <c r="AL12" s="22">
        <f t="shared" si="33"/>
        <v>0</v>
      </c>
      <c r="AM12" s="23" t="str">
        <f>IF(SUMPRODUCT($J$69:AL$69,$J12:AL12)&lt;0.5, "Pending", IF(AL12&lt;0.5, "Complete", "In Progress"))</f>
        <v>Complete</v>
      </c>
      <c r="AN12" s="22">
        <v>0</v>
      </c>
      <c r="AO12" s="22">
        <f t="shared" si="34"/>
        <v>0</v>
      </c>
      <c r="AP12" s="23" t="str">
        <f>IF(SUMPRODUCT($J$69:AO$69,$J12:AO12)&lt;0.5, "Pending", IF(AO12&lt;0.5, "Complete", "In Progress"))</f>
        <v>Complete</v>
      </c>
      <c r="AQ12" s="22">
        <v>0</v>
      </c>
      <c r="AR12" s="22">
        <f t="shared" si="35"/>
        <v>0</v>
      </c>
      <c r="AS12" s="23" t="str">
        <f>IF(SUMPRODUCT($J$69:AR$69,$J12:AR12)&lt;0.5, "Pending", IF(AR12&lt;0.5, "Complete", "In Progress"))</f>
        <v>Complete</v>
      </c>
      <c r="AT12" s="22">
        <v>0</v>
      </c>
      <c r="AU12" s="22">
        <f t="shared" si="36"/>
        <v>0</v>
      </c>
      <c r="AV12" s="23" t="str">
        <f>IF(SUMPRODUCT($J$69:AU$69,$J12:AU12)&lt;0.5, "Pending", IF(AU12&lt;0.5, "Complete", "In Progress"))</f>
        <v>Complete</v>
      </c>
      <c r="AW12" s="22">
        <v>0</v>
      </c>
      <c r="AX12" s="22">
        <f t="shared" si="37"/>
        <v>0</v>
      </c>
      <c r="AY12" s="23" t="str">
        <f>IF(SUMPRODUCT($J$69:AX$69,$J12:AX12)&lt;0.5, "Pending", IF(AX12&lt;0.5, "Complete", "In Progress"))</f>
        <v>Complete</v>
      </c>
      <c r="AZ12" s="22">
        <v>0</v>
      </c>
      <c r="BA12" s="22">
        <f t="shared" si="38"/>
        <v>0</v>
      </c>
      <c r="BB12" s="23" t="str">
        <f>IF(SUMPRODUCT($J$69:BA$69,$J12:BA12)&lt;0.5, "Pending", IF(BA12&lt;0.5, "Complete", "In Progress"))</f>
        <v>Complete</v>
      </c>
      <c r="BC12" s="22">
        <v>0</v>
      </c>
      <c r="BD12" s="22">
        <f t="shared" si="39"/>
        <v>0</v>
      </c>
      <c r="BE12" s="23" t="str">
        <f>IF(SUMPRODUCT($J$69:BD$69,$J12:BD12)&lt;0.5, "Pending", IF(BD12&lt;0.5, "Complete", "In Progress"))</f>
        <v>Complete</v>
      </c>
      <c r="BF12" s="22">
        <v>0</v>
      </c>
      <c r="BG12" s="22">
        <f t="shared" si="40"/>
        <v>0</v>
      </c>
      <c r="BH12" s="23" t="str">
        <f>IF(SUMPRODUCT($J$69:BG$69,$J12:BG12)&lt;0.5, "Pending", IF(BG12&lt;0.5, "Complete", "In Progress"))</f>
        <v>Complete</v>
      </c>
      <c r="BI12" s="22">
        <v>0</v>
      </c>
      <c r="BJ12" s="22">
        <f t="shared" si="41"/>
        <v>0</v>
      </c>
      <c r="BK12" s="23" t="str">
        <f>IF(SUMPRODUCT($J$69:BJ$69,$J12:BJ12)&lt;0.5, "Pending", IF(BJ12&lt;0.5, "Complete", "In Progress"))</f>
        <v>Complete</v>
      </c>
      <c r="BL12" s="22">
        <v>0</v>
      </c>
      <c r="BM12" s="22">
        <f t="shared" si="42"/>
        <v>0</v>
      </c>
      <c r="BN12" s="23" t="str">
        <f>IF(SUMPRODUCT($J$69:BM$69,$J12:BM12)&lt;0.5, "Pending", IF(BM12&lt;0.5, "Complete", "In Progress"))</f>
        <v>Complete</v>
      </c>
      <c r="BO12" s="22">
        <v>0</v>
      </c>
      <c r="BP12" s="22">
        <f t="shared" si="43"/>
        <v>0</v>
      </c>
      <c r="BQ12" s="23" t="str">
        <f>IF(SUMPRODUCT($J$69:BP$69,$J12:BP12)&lt;0.5, "Pending", IF(BP12&lt;0.5, "Complete", "In Progress"))</f>
        <v>Complete</v>
      </c>
      <c r="BR12" s="22">
        <v>0</v>
      </c>
      <c r="BS12" s="22">
        <f t="shared" si="44"/>
        <v>0</v>
      </c>
      <c r="BT12" s="23" t="str">
        <f>IF(SUMPRODUCT($J$69:BS$69,$J12:BS12)&lt;0.5, "Pending", IF(BS12&lt;0.5, "Complete", "In Progress"))</f>
        <v>Complete</v>
      </c>
      <c r="BU12" s="22">
        <v>0</v>
      </c>
      <c r="BV12" s="22">
        <f t="shared" si="45"/>
        <v>0</v>
      </c>
      <c r="BW12" s="23" t="str">
        <f>IF(SUMPRODUCT($J$69:BV$69,$J12:BV12)&lt;0.5, "Pending", IF(BV12&lt;0.5, "Complete", "In Progress"))</f>
        <v>Complete</v>
      </c>
      <c r="BX12" s="22">
        <v>0</v>
      </c>
      <c r="BY12" s="22">
        <f t="shared" si="46"/>
        <v>0</v>
      </c>
      <c r="BZ12" s="23" t="str">
        <f>IF(SUMPRODUCT($J$69:BY$69,$J12:BY12)&lt;0.5, "Pending", IF(BY12&lt;0.5, "Complete", "In Progress"))</f>
        <v>Complete</v>
      </c>
      <c r="CA12" s="22">
        <v>0</v>
      </c>
      <c r="CB12" s="22">
        <f t="shared" si="47"/>
        <v>0</v>
      </c>
      <c r="CC12" s="23" t="str">
        <f>IF(SUMPRODUCT($J$69:CB$69,$J12:CB12)&lt;0.5, "Pending", IF(CB12&lt;0.5, "Complete", "In Progress"))</f>
        <v>Complete</v>
      </c>
      <c r="CD12" s="24"/>
      <c r="CE12" s="25">
        <f>SUMPRODUCT($H$69:AY$69,$H12:AY12)</f>
        <v>3</v>
      </c>
    </row>
    <row r="13" spans="1:83" ht="12.75" customHeight="1" x14ac:dyDescent="0.2">
      <c r="A13" s="16" t="s">
        <v>105</v>
      </c>
      <c r="B13" s="16" t="s">
        <v>136</v>
      </c>
      <c r="C13" s="16"/>
      <c r="D13" s="17"/>
      <c r="E13" s="177" t="s">
        <v>148</v>
      </c>
      <c r="F13" s="18" t="s">
        <v>131</v>
      </c>
      <c r="G13" s="19" t="e">
        <f t="shared" ca="1" si="23"/>
        <v>#REF!</v>
      </c>
      <c r="H13" s="20">
        <v>1</v>
      </c>
      <c r="I13" s="21">
        <v>4</v>
      </c>
      <c r="J13" s="22">
        <v>0</v>
      </c>
      <c r="K13" s="22">
        <f t="shared" si="24"/>
        <v>4</v>
      </c>
      <c r="L13" s="23" t="str">
        <f>IF(SUMPRODUCT($J$69:K$69,$J13:K13)&lt;0.5, "Pending", IF(K13&lt;0.5, "Complete", "In Progress"))</f>
        <v>Pending</v>
      </c>
      <c r="M13" s="22">
        <v>0</v>
      </c>
      <c r="N13" s="22">
        <f>MAX(K13-M13, 0)</f>
        <v>4</v>
      </c>
      <c r="O13" s="23" t="str">
        <f>IF(SUMPRODUCT($J$69:N$69,$J13:N13)&lt;0.5, "Pending", IF(N13&lt;0.5, "Complete", "In Progress"))</f>
        <v>Pending</v>
      </c>
      <c r="P13" s="22">
        <v>0</v>
      </c>
      <c r="Q13" s="22">
        <f t="shared" si="26"/>
        <v>4</v>
      </c>
      <c r="R13" s="23" t="str">
        <f>IF(SUMPRODUCT($J$69:Q$69,$J13:Q13)&lt;0.5, "Pending", IF(Q13&lt;0.5, "Complete", "In Progress"))</f>
        <v>Pending</v>
      </c>
      <c r="S13" s="22">
        <v>0</v>
      </c>
      <c r="T13" s="22">
        <f t="shared" si="27"/>
        <v>4</v>
      </c>
      <c r="U13" s="23" t="str">
        <f>IF(SUMPRODUCT($J$69:T$69,$J13:T13)&lt;0.5, "Pending", IF(T13&lt;0.5, "Complete", "In Progress"))</f>
        <v>Pending</v>
      </c>
      <c r="V13" s="22">
        <v>4</v>
      </c>
      <c r="W13" s="22">
        <f t="shared" si="28"/>
        <v>0</v>
      </c>
      <c r="X13" s="23" t="str">
        <f>IF(SUMPRODUCT($J$69:W$69,$J13:W13)&lt;0.5, "Pending", IF(W13&lt;0.5, "Complete", "In Progress"))</f>
        <v>Complete</v>
      </c>
      <c r="Y13" s="22">
        <v>0</v>
      </c>
      <c r="Z13" s="22">
        <f t="shared" si="29"/>
        <v>0</v>
      </c>
      <c r="AA13" s="23" t="str">
        <f>IF(SUMPRODUCT($J$69:Z$69,$J13:Z13)&lt;0.5, "Pending", IF(Z13&lt;0.5, "Complete", "In Progress"))</f>
        <v>Complete</v>
      </c>
      <c r="AB13" s="22">
        <v>0</v>
      </c>
      <c r="AC13" s="22">
        <f t="shared" si="30"/>
        <v>0</v>
      </c>
      <c r="AD13" s="23" t="str">
        <f>IF(SUMPRODUCT($J$69:AC$69,$J13:AC13)&lt;0.5, "Pending", IF(AC13&lt;0.5, "Complete", "In Progress"))</f>
        <v>Complete</v>
      </c>
      <c r="AE13" s="22">
        <v>0</v>
      </c>
      <c r="AF13" s="22">
        <f t="shared" si="31"/>
        <v>0</v>
      </c>
      <c r="AG13" s="23" t="str">
        <f>IF(SUMPRODUCT($J$69:AF$69,$J13:AF13)&lt;0.5, "Pending", IF(AF13&lt;0.5, "Complete", "In Progress"))</f>
        <v>Complete</v>
      </c>
      <c r="AH13" s="22">
        <v>0</v>
      </c>
      <c r="AI13" s="22">
        <f t="shared" si="32"/>
        <v>0</v>
      </c>
      <c r="AJ13" s="23" t="str">
        <f>IF(SUMPRODUCT($J$69:AI$69,$J13:AI13)&lt;0.5, "Pending", IF(AI13&lt;0.5, "Complete", "In Progress"))</f>
        <v>Complete</v>
      </c>
      <c r="AK13" s="22">
        <v>0</v>
      </c>
      <c r="AL13" s="22">
        <f t="shared" si="33"/>
        <v>0</v>
      </c>
      <c r="AM13" s="23" t="str">
        <f>IF(SUMPRODUCT($J$69:AL$69,$J13:AL13)&lt;0.5, "Pending", IF(AL13&lt;0.5, "Complete", "In Progress"))</f>
        <v>Complete</v>
      </c>
      <c r="AN13" s="22">
        <v>0</v>
      </c>
      <c r="AO13" s="22">
        <f t="shared" si="34"/>
        <v>0</v>
      </c>
      <c r="AP13" s="23" t="str">
        <f>IF(SUMPRODUCT($J$69:AO$69,$J13:AO13)&lt;0.5, "Pending", IF(AO13&lt;0.5, "Complete", "In Progress"))</f>
        <v>Complete</v>
      </c>
      <c r="AQ13" s="22">
        <v>0</v>
      </c>
      <c r="AR13" s="22">
        <f t="shared" si="35"/>
        <v>0</v>
      </c>
      <c r="AS13" s="23" t="str">
        <f>IF(SUMPRODUCT($J$69:AR$69,$J13:AR13)&lt;0.5, "Pending", IF(AR13&lt;0.5, "Complete", "In Progress"))</f>
        <v>Complete</v>
      </c>
      <c r="AT13" s="22">
        <v>0</v>
      </c>
      <c r="AU13" s="22">
        <f t="shared" si="36"/>
        <v>0</v>
      </c>
      <c r="AV13" s="23" t="str">
        <f>IF(SUMPRODUCT($J$69:AU$69,$J13:AU13)&lt;0.5, "Pending", IF(AU13&lt;0.5, "Complete", "In Progress"))</f>
        <v>Complete</v>
      </c>
      <c r="AW13" s="22">
        <v>0</v>
      </c>
      <c r="AX13" s="22">
        <f t="shared" si="37"/>
        <v>0</v>
      </c>
      <c r="AY13" s="23" t="str">
        <f>IF(SUMPRODUCT($J$69:AX$69,$J13:AX13)&lt;0.5, "Pending", IF(AX13&lt;0.5, "Complete", "In Progress"))</f>
        <v>Complete</v>
      </c>
      <c r="AZ13" s="22">
        <v>0</v>
      </c>
      <c r="BA13" s="22">
        <f t="shared" si="38"/>
        <v>0</v>
      </c>
      <c r="BB13" s="23" t="str">
        <f>IF(SUMPRODUCT($J$69:BA$69,$J13:BA13)&lt;0.5, "Pending", IF(BA13&lt;0.5, "Complete", "In Progress"))</f>
        <v>Complete</v>
      </c>
      <c r="BC13" s="22">
        <v>0</v>
      </c>
      <c r="BD13" s="22">
        <f t="shared" si="39"/>
        <v>0</v>
      </c>
      <c r="BE13" s="23" t="str">
        <f>IF(SUMPRODUCT($J$69:BD$69,$J13:BD13)&lt;0.5, "Pending", IF(BD13&lt;0.5, "Complete", "In Progress"))</f>
        <v>Complete</v>
      </c>
      <c r="BF13" s="22">
        <v>0</v>
      </c>
      <c r="BG13" s="22">
        <f t="shared" si="40"/>
        <v>0</v>
      </c>
      <c r="BH13" s="23" t="str">
        <f>IF(SUMPRODUCT($J$69:BG$69,$J13:BG13)&lt;0.5, "Pending", IF(BG13&lt;0.5, "Complete", "In Progress"))</f>
        <v>Complete</v>
      </c>
      <c r="BI13" s="22">
        <v>0</v>
      </c>
      <c r="BJ13" s="22">
        <f t="shared" si="41"/>
        <v>0</v>
      </c>
      <c r="BK13" s="23" t="str">
        <f>IF(SUMPRODUCT($J$69:BJ$69,$J13:BJ13)&lt;0.5, "Pending", IF(BJ13&lt;0.5, "Complete", "In Progress"))</f>
        <v>Complete</v>
      </c>
      <c r="BL13" s="22">
        <v>0</v>
      </c>
      <c r="BM13" s="22">
        <f t="shared" si="42"/>
        <v>0</v>
      </c>
      <c r="BN13" s="23" t="str">
        <f>IF(SUMPRODUCT($J$69:BM$69,$J13:BM13)&lt;0.5, "Pending", IF(BM13&lt;0.5, "Complete", "In Progress"))</f>
        <v>Complete</v>
      </c>
      <c r="BO13" s="22">
        <v>0</v>
      </c>
      <c r="BP13" s="22">
        <f t="shared" si="43"/>
        <v>0</v>
      </c>
      <c r="BQ13" s="23" t="str">
        <f>IF(SUMPRODUCT($J$69:BP$69,$J13:BP13)&lt;0.5, "Pending", IF(BP13&lt;0.5, "Complete", "In Progress"))</f>
        <v>Complete</v>
      </c>
      <c r="BR13" s="22">
        <v>0</v>
      </c>
      <c r="BS13" s="22">
        <f t="shared" si="44"/>
        <v>0</v>
      </c>
      <c r="BT13" s="23" t="str">
        <f>IF(SUMPRODUCT($J$69:BS$69,$J13:BS13)&lt;0.5, "Pending", IF(BS13&lt;0.5, "Complete", "In Progress"))</f>
        <v>Complete</v>
      </c>
      <c r="BU13" s="22">
        <v>0</v>
      </c>
      <c r="BV13" s="22">
        <f t="shared" si="45"/>
        <v>0</v>
      </c>
      <c r="BW13" s="23" t="str">
        <f>IF(SUMPRODUCT($J$69:BV$69,$J13:BV13)&lt;0.5, "Pending", IF(BV13&lt;0.5, "Complete", "In Progress"))</f>
        <v>Complete</v>
      </c>
      <c r="BX13" s="22">
        <v>0</v>
      </c>
      <c r="BY13" s="22">
        <f t="shared" si="46"/>
        <v>0</v>
      </c>
      <c r="BZ13" s="23" t="str">
        <f>IF(SUMPRODUCT($J$69:BY$69,$J13:BY13)&lt;0.5, "Pending", IF(BY13&lt;0.5, "Complete", "In Progress"))</f>
        <v>Complete</v>
      </c>
      <c r="CA13" s="22">
        <v>0</v>
      </c>
      <c r="CB13" s="22">
        <f t="shared" si="47"/>
        <v>0</v>
      </c>
      <c r="CC13" s="23" t="str">
        <f>IF(SUMPRODUCT($J$69:CB$69,$J13:CB13)&lt;0.5, "Pending", IF(CB13&lt;0.5, "Complete", "In Progress"))</f>
        <v>Complete</v>
      </c>
      <c r="CD13" s="24"/>
      <c r="CE13" s="25">
        <f>SUMPRODUCT($H$69:AY$69,$H13:AY13)</f>
        <v>4</v>
      </c>
    </row>
    <row r="14" spans="1:83" ht="12.75" customHeight="1" x14ac:dyDescent="0.2">
      <c r="A14" s="16" t="s">
        <v>105</v>
      </c>
      <c r="B14" s="16" t="s">
        <v>137</v>
      </c>
      <c r="C14" s="16"/>
      <c r="D14" s="17"/>
      <c r="E14" s="177" t="s">
        <v>150</v>
      </c>
      <c r="F14" s="18" t="s">
        <v>131</v>
      </c>
      <c r="G14" s="19" t="e">
        <f t="shared" ca="1" si="23"/>
        <v>#REF!</v>
      </c>
      <c r="H14" s="20">
        <v>1</v>
      </c>
      <c r="I14" s="21">
        <v>2</v>
      </c>
      <c r="J14" s="22">
        <v>0</v>
      </c>
      <c r="K14" s="22">
        <f t="shared" si="24"/>
        <v>2</v>
      </c>
      <c r="L14" s="23" t="str">
        <f>IF(SUMPRODUCT($J$69:K$69,$J14:K14)&lt;0.5, "Pending", IF(K14&lt;0.5, "Complete", "In Progress"))</f>
        <v>Pending</v>
      </c>
      <c r="M14" s="22">
        <v>0</v>
      </c>
      <c r="N14" s="22">
        <f t="shared" si="25"/>
        <v>2</v>
      </c>
      <c r="O14" s="23" t="str">
        <f>IF(SUMPRODUCT($J$69:N$69,$J14:N14)&lt;0.5, "Pending", IF(N14&lt;0.5, "Complete", "In Progress"))</f>
        <v>Pending</v>
      </c>
      <c r="P14" s="22">
        <v>0</v>
      </c>
      <c r="Q14" s="22">
        <f t="shared" si="26"/>
        <v>2</v>
      </c>
      <c r="R14" s="23" t="str">
        <f>IF(SUMPRODUCT($J$69:Q$69,$J14:Q14)&lt;0.5, "Pending", IF(Q14&lt;0.5, "Complete", "In Progress"))</f>
        <v>Pending</v>
      </c>
      <c r="S14" s="22">
        <v>0</v>
      </c>
      <c r="T14" s="22">
        <f t="shared" si="27"/>
        <v>2</v>
      </c>
      <c r="U14" s="23" t="str">
        <f>IF(SUMPRODUCT($J$69:T$69,$J14:T14)&lt;0.5, "Pending", IF(T14&lt;0.5, "Complete", "In Progress"))</f>
        <v>Pending</v>
      </c>
      <c r="V14" s="22">
        <v>2</v>
      </c>
      <c r="W14" s="22">
        <f t="shared" si="28"/>
        <v>0</v>
      </c>
      <c r="X14" s="23" t="str">
        <f>IF(SUMPRODUCT($J$69:W$69,$J14:W14)&lt;0.5, "Pending", IF(W14&lt;0.5, "Complete", "In Progress"))</f>
        <v>Complete</v>
      </c>
      <c r="Y14" s="22">
        <v>0</v>
      </c>
      <c r="Z14" s="22">
        <f t="shared" si="29"/>
        <v>0</v>
      </c>
      <c r="AA14" s="23" t="str">
        <f>IF(SUMPRODUCT($J$69:Z$69,$J14:Z14)&lt;0.5, "Pending", IF(Z14&lt;0.5, "Complete", "In Progress"))</f>
        <v>Complete</v>
      </c>
      <c r="AB14" s="22">
        <v>0</v>
      </c>
      <c r="AC14" s="22">
        <f t="shared" si="30"/>
        <v>0</v>
      </c>
      <c r="AD14" s="23" t="str">
        <f>IF(SUMPRODUCT($J$69:AC$69,$J14:AC14)&lt;0.5, "Pending", IF(AC14&lt;0.5, "Complete", "In Progress"))</f>
        <v>Complete</v>
      </c>
      <c r="AE14" s="22">
        <v>0</v>
      </c>
      <c r="AF14" s="22">
        <f t="shared" si="31"/>
        <v>0</v>
      </c>
      <c r="AG14" s="23" t="str">
        <f>IF(SUMPRODUCT($J$69:AF$69,$J14:AF14)&lt;0.5, "Pending", IF(AF14&lt;0.5, "Complete", "In Progress"))</f>
        <v>Complete</v>
      </c>
      <c r="AH14" s="22">
        <v>0</v>
      </c>
      <c r="AI14" s="22">
        <f t="shared" si="32"/>
        <v>0</v>
      </c>
      <c r="AJ14" s="23" t="str">
        <f>IF(SUMPRODUCT($J$69:AI$69,$J14:AI14)&lt;0.5, "Pending", IF(AI14&lt;0.5, "Complete", "In Progress"))</f>
        <v>Complete</v>
      </c>
      <c r="AK14" s="22">
        <v>0</v>
      </c>
      <c r="AL14" s="22">
        <f t="shared" si="33"/>
        <v>0</v>
      </c>
      <c r="AM14" s="23" t="str">
        <f>IF(SUMPRODUCT($J$69:AL$69,$J14:AL14)&lt;0.5, "Pending", IF(AL14&lt;0.5, "Complete", "In Progress"))</f>
        <v>Complete</v>
      </c>
      <c r="AN14" s="22">
        <v>0</v>
      </c>
      <c r="AO14" s="22">
        <f t="shared" si="34"/>
        <v>0</v>
      </c>
      <c r="AP14" s="23" t="str">
        <f>IF(SUMPRODUCT($J$69:AO$69,$J14:AO14)&lt;0.5, "Pending", IF(AO14&lt;0.5, "Complete", "In Progress"))</f>
        <v>Complete</v>
      </c>
      <c r="AQ14" s="22">
        <v>0</v>
      </c>
      <c r="AR14" s="22">
        <f t="shared" si="35"/>
        <v>0</v>
      </c>
      <c r="AS14" s="23" t="str">
        <f>IF(SUMPRODUCT($J$69:AR$69,$J14:AR14)&lt;0.5, "Pending", IF(AR14&lt;0.5, "Complete", "In Progress"))</f>
        <v>Complete</v>
      </c>
      <c r="AT14" s="22">
        <v>0</v>
      </c>
      <c r="AU14" s="22">
        <f t="shared" si="36"/>
        <v>0</v>
      </c>
      <c r="AV14" s="23" t="str">
        <f>IF(SUMPRODUCT($J$69:AU$69,$J14:AU14)&lt;0.5, "Pending", IF(AU14&lt;0.5, "Complete", "In Progress"))</f>
        <v>Complete</v>
      </c>
      <c r="AW14" s="22">
        <v>0</v>
      </c>
      <c r="AX14" s="22">
        <f t="shared" si="37"/>
        <v>0</v>
      </c>
      <c r="AY14" s="23" t="str">
        <f>IF(SUMPRODUCT($J$69:AX$69,$J14:AX14)&lt;0.5, "Pending", IF(AX14&lt;0.5, "Complete", "In Progress"))</f>
        <v>Complete</v>
      </c>
      <c r="AZ14" s="22">
        <v>0</v>
      </c>
      <c r="BA14" s="22">
        <f t="shared" si="38"/>
        <v>0</v>
      </c>
      <c r="BB14" s="23" t="str">
        <f>IF(SUMPRODUCT($J$69:BA$69,$J14:BA14)&lt;0.5, "Pending", IF(BA14&lt;0.5, "Complete", "In Progress"))</f>
        <v>Complete</v>
      </c>
      <c r="BC14" s="22">
        <v>0</v>
      </c>
      <c r="BD14" s="22">
        <f t="shared" si="39"/>
        <v>0</v>
      </c>
      <c r="BE14" s="23" t="str">
        <f>IF(SUMPRODUCT($J$69:BD$69,$J14:BD14)&lt;0.5, "Pending", IF(BD14&lt;0.5, "Complete", "In Progress"))</f>
        <v>Complete</v>
      </c>
      <c r="BF14" s="22">
        <v>0</v>
      </c>
      <c r="BG14" s="22">
        <f t="shared" si="40"/>
        <v>0</v>
      </c>
      <c r="BH14" s="23" t="str">
        <f>IF(SUMPRODUCT($J$69:BG$69,$J14:BG14)&lt;0.5, "Pending", IF(BG14&lt;0.5, "Complete", "In Progress"))</f>
        <v>Complete</v>
      </c>
      <c r="BI14" s="22">
        <v>0</v>
      </c>
      <c r="BJ14" s="22">
        <f t="shared" si="41"/>
        <v>0</v>
      </c>
      <c r="BK14" s="23" t="str">
        <f>IF(SUMPRODUCT($J$69:BJ$69,$J14:BJ14)&lt;0.5, "Pending", IF(BJ14&lt;0.5, "Complete", "In Progress"))</f>
        <v>Complete</v>
      </c>
      <c r="BL14" s="22">
        <v>0</v>
      </c>
      <c r="BM14" s="22">
        <f t="shared" si="42"/>
        <v>0</v>
      </c>
      <c r="BN14" s="23" t="str">
        <f>IF(SUMPRODUCT($J$69:BM$69,$J14:BM14)&lt;0.5, "Pending", IF(BM14&lt;0.5, "Complete", "In Progress"))</f>
        <v>Complete</v>
      </c>
      <c r="BO14" s="22">
        <v>0</v>
      </c>
      <c r="BP14" s="22">
        <f t="shared" si="43"/>
        <v>0</v>
      </c>
      <c r="BQ14" s="23" t="str">
        <f>IF(SUMPRODUCT($J$69:BP$69,$J14:BP14)&lt;0.5, "Pending", IF(BP14&lt;0.5, "Complete", "In Progress"))</f>
        <v>Complete</v>
      </c>
      <c r="BR14" s="22">
        <v>0</v>
      </c>
      <c r="BS14" s="22">
        <f t="shared" si="44"/>
        <v>0</v>
      </c>
      <c r="BT14" s="23" t="str">
        <f>IF(SUMPRODUCT($J$69:BS$69,$J14:BS14)&lt;0.5, "Pending", IF(BS14&lt;0.5, "Complete", "In Progress"))</f>
        <v>Complete</v>
      </c>
      <c r="BU14" s="22">
        <v>0</v>
      </c>
      <c r="BV14" s="22">
        <f t="shared" si="45"/>
        <v>0</v>
      </c>
      <c r="BW14" s="23" t="str">
        <f>IF(SUMPRODUCT($J$69:BV$69,$J14:BV14)&lt;0.5, "Pending", IF(BV14&lt;0.5, "Complete", "In Progress"))</f>
        <v>Complete</v>
      </c>
      <c r="BX14" s="22">
        <v>0</v>
      </c>
      <c r="BY14" s="22">
        <f t="shared" si="46"/>
        <v>0</v>
      </c>
      <c r="BZ14" s="23" t="str">
        <f>IF(SUMPRODUCT($J$69:BY$69,$J14:BY14)&lt;0.5, "Pending", IF(BY14&lt;0.5, "Complete", "In Progress"))</f>
        <v>Complete</v>
      </c>
      <c r="CA14" s="22">
        <v>0</v>
      </c>
      <c r="CB14" s="22">
        <f t="shared" si="47"/>
        <v>0</v>
      </c>
      <c r="CC14" s="23" t="str">
        <f>IF(SUMPRODUCT($J$69:CB$69,$J14:CB14)&lt;0.5, "Pending", IF(CB14&lt;0.5, "Complete", "In Progress"))</f>
        <v>Complete</v>
      </c>
      <c r="CD14" s="24"/>
      <c r="CE14" s="25">
        <f>SUMPRODUCT($H$69:AY$69,$H14:AY14)</f>
        <v>2</v>
      </c>
    </row>
    <row r="15" spans="1:83" ht="12.75" customHeight="1" x14ac:dyDescent="0.2">
      <c r="A15" s="16" t="s">
        <v>105</v>
      </c>
      <c r="B15" s="16" t="s">
        <v>137</v>
      </c>
      <c r="C15" s="16"/>
      <c r="D15" s="17"/>
      <c r="E15" s="177" t="s">
        <v>149</v>
      </c>
      <c r="F15" s="18" t="s">
        <v>131</v>
      </c>
      <c r="G15" s="19" t="e">
        <f t="shared" ca="1" si="23"/>
        <v>#REF!</v>
      </c>
      <c r="H15" s="20">
        <v>1</v>
      </c>
      <c r="I15" s="21">
        <v>6</v>
      </c>
      <c r="J15" s="22">
        <v>0</v>
      </c>
      <c r="K15" s="22">
        <f t="shared" si="24"/>
        <v>6</v>
      </c>
      <c r="L15" s="23" t="str">
        <f>IF(SUMPRODUCT($J$69:K$69,$J15:K15)&lt;0.5, "Pending", IF(K15&lt;0.5, "Complete", "In Progress"))</f>
        <v>Pending</v>
      </c>
      <c r="M15" s="22">
        <v>0</v>
      </c>
      <c r="N15" s="22">
        <f t="shared" si="25"/>
        <v>6</v>
      </c>
      <c r="O15" s="23" t="str">
        <f>IF(SUMPRODUCT($J$69:N$69,$J15:N15)&lt;0.5, "Pending", IF(N15&lt;0.5, "Complete", "In Progress"))</f>
        <v>Pending</v>
      </c>
      <c r="P15" s="22">
        <v>0</v>
      </c>
      <c r="Q15" s="22">
        <f t="shared" si="26"/>
        <v>6</v>
      </c>
      <c r="R15" s="23" t="str">
        <f>IF(SUMPRODUCT($J$69:Q$69,$J15:Q15)&lt;0.5, "Pending", IF(Q15&lt;0.5, "Complete", "In Progress"))</f>
        <v>Pending</v>
      </c>
      <c r="S15" s="22">
        <v>0</v>
      </c>
      <c r="T15" s="22">
        <f t="shared" si="27"/>
        <v>6</v>
      </c>
      <c r="U15" s="23" t="str">
        <f>IF(SUMPRODUCT($J$69:T$69,$J15:T15)&lt;0.5, "Pending", IF(T15&lt;0.5, "Complete", "In Progress"))</f>
        <v>Pending</v>
      </c>
      <c r="V15" s="22">
        <v>0</v>
      </c>
      <c r="W15" s="22">
        <f t="shared" si="28"/>
        <v>6</v>
      </c>
      <c r="X15" s="23" t="str">
        <f>IF(SUMPRODUCT($J$69:W$69,$J15:W15)&lt;0.5, "Pending", IF(W15&lt;0.5, "Complete", "In Progress"))</f>
        <v>Pending</v>
      </c>
      <c r="Y15" s="22">
        <v>6</v>
      </c>
      <c r="Z15" s="22">
        <f t="shared" si="29"/>
        <v>0</v>
      </c>
      <c r="AA15" s="23" t="str">
        <f>IF(SUMPRODUCT($J$69:Z$69,$J15:Z15)&lt;0.5, "Pending", IF(Z15&lt;0.5, "Complete", "In Progress"))</f>
        <v>Complete</v>
      </c>
      <c r="AB15" s="22">
        <v>1</v>
      </c>
      <c r="AC15" s="22">
        <f t="shared" si="30"/>
        <v>0</v>
      </c>
      <c r="AD15" s="23" t="str">
        <f>IF(SUMPRODUCT($J$69:AC$69,$J15:AC15)&lt;0.5, "Pending", IF(AC15&lt;0.5, "Complete", "In Progress"))</f>
        <v>Complete</v>
      </c>
      <c r="AE15" s="22">
        <v>0</v>
      </c>
      <c r="AF15" s="22">
        <f t="shared" si="31"/>
        <v>0</v>
      </c>
      <c r="AG15" s="23" t="str">
        <f>IF(SUMPRODUCT($J$69:AF$69,$J15:AF15)&lt;0.5, "Pending", IF(AF15&lt;0.5, "Complete", "In Progress"))</f>
        <v>Complete</v>
      </c>
      <c r="AH15" s="22">
        <v>0</v>
      </c>
      <c r="AI15" s="22">
        <f t="shared" si="32"/>
        <v>0</v>
      </c>
      <c r="AJ15" s="23" t="str">
        <f>IF(SUMPRODUCT($J$69:AI$69,$J15:AI15)&lt;0.5, "Pending", IF(AI15&lt;0.5, "Complete", "In Progress"))</f>
        <v>Complete</v>
      </c>
      <c r="AK15" s="22">
        <v>0</v>
      </c>
      <c r="AL15" s="22">
        <f t="shared" si="33"/>
        <v>0</v>
      </c>
      <c r="AM15" s="23" t="str">
        <f>IF(SUMPRODUCT($J$69:AL$69,$J15:AL15)&lt;0.5, "Pending", IF(AL15&lt;0.5, "Complete", "In Progress"))</f>
        <v>Complete</v>
      </c>
      <c r="AN15" s="22">
        <v>0</v>
      </c>
      <c r="AO15" s="22">
        <f t="shared" si="34"/>
        <v>0</v>
      </c>
      <c r="AP15" s="23" t="str">
        <f>IF(SUMPRODUCT($J$69:AO$69,$J15:AO15)&lt;0.5, "Pending", IF(AO15&lt;0.5, "Complete", "In Progress"))</f>
        <v>Complete</v>
      </c>
      <c r="AQ15" s="22">
        <v>0</v>
      </c>
      <c r="AR15" s="22">
        <f t="shared" si="35"/>
        <v>0</v>
      </c>
      <c r="AS15" s="23" t="str">
        <f>IF(SUMPRODUCT($J$69:AR$69,$J15:AR15)&lt;0.5, "Pending", IF(AR15&lt;0.5, "Complete", "In Progress"))</f>
        <v>Complete</v>
      </c>
      <c r="AT15" s="22">
        <v>0</v>
      </c>
      <c r="AU15" s="22">
        <f t="shared" si="36"/>
        <v>0</v>
      </c>
      <c r="AV15" s="23" t="str">
        <f>IF(SUMPRODUCT($J$69:AU$69,$J15:AU15)&lt;0.5, "Pending", IF(AU15&lt;0.5, "Complete", "In Progress"))</f>
        <v>Complete</v>
      </c>
      <c r="AW15" s="22">
        <v>0</v>
      </c>
      <c r="AX15" s="22">
        <f t="shared" si="37"/>
        <v>0</v>
      </c>
      <c r="AY15" s="23" t="str">
        <f>IF(SUMPRODUCT($J$69:AX$69,$J15:AX15)&lt;0.5, "Pending", IF(AX15&lt;0.5, "Complete", "In Progress"))</f>
        <v>Complete</v>
      </c>
      <c r="AZ15" s="22">
        <v>0</v>
      </c>
      <c r="BA15" s="22">
        <f t="shared" si="38"/>
        <v>0</v>
      </c>
      <c r="BB15" s="23" t="str">
        <f>IF(SUMPRODUCT($J$69:BA$69,$J15:BA15)&lt;0.5, "Pending", IF(BA15&lt;0.5, "Complete", "In Progress"))</f>
        <v>Complete</v>
      </c>
      <c r="BC15" s="22">
        <v>0</v>
      </c>
      <c r="BD15" s="22">
        <f t="shared" si="39"/>
        <v>0</v>
      </c>
      <c r="BE15" s="23" t="str">
        <f>IF(SUMPRODUCT($J$69:BD$69,$J15:BD15)&lt;0.5, "Pending", IF(BD15&lt;0.5, "Complete", "In Progress"))</f>
        <v>Complete</v>
      </c>
      <c r="BF15" s="22">
        <v>0</v>
      </c>
      <c r="BG15" s="22">
        <f t="shared" si="40"/>
        <v>0</v>
      </c>
      <c r="BH15" s="23" t="str">
        <f>IF(SUMPRODUCT($J$69:BG$69,$J15:BG15)&lt;0.5, "Pending", IF(BG15&lt;0.5, "Complete", "In Progress"))</f>
        <v>Complete</v>
      </c>
      <c r="BI15" s="22">
        <v>0</v>
      </c>
      <c r="BJ15" s="22">
        <f t="shared" si="41"/>
        <v>0</v>
      </c>
      <c r="BK15" s="23" t="str">
        <f>IF(SUMPRODUCT($J$69:BJ$69,$J15:BJ15)&lt;0.5, "Pending", IF(BJ15&lt;0.5, "Complete", "In Progress"))</f>
        <v>Complete</v>
      </c>
      <c r="BL15" s="22">
        <v>0</v>
      </c>
      <c r="BM15" s="22">
        <f t="shared" si="42"/>
        <v>0</v>
      </c>
      <c r="BN15" s="23" t="str">
        <f>IF(SUMPRODUCT($J$69:BM$69,$J15:BM15)&lt;0.5, "Pending", IF(BM15&lt;0.5, "Complete", "In Progress"))</f>
        <v>Complete</v>
      </c>
      <c r="BO15" s="22">
        <v>0</v>
      </c>
      <c r="BP15" s="22">
        <f t="shared" si="43"/>
        <v>0</v>
      </c>
      <c r="BQ15" s="23" t="str">
        <f>IF(SUMPRODUCT($J$69:BP$69,$J15:BP15)&lt;0.5, "Pending", IF(BP15&lt;0.5, "Complete", "In Progress"))</f>
        <v>Complete</v>
      </c>
      <c r="BR15" s="22">
        <v>0</v>
      </c>
      <c r="BS15" s="22">
        <f t="shared" si="44"/>
        <v>0</v>
      </c>
      <c r="BT15" s="23" t="str">
        <f>IF(SUMPRODUCT($J$69:BS$69,$J15:BS15)&lt;0.5, "Pending", IF(BS15&lt;0.5, "Complete", "In Progress"))</f>
        <v>Complete</v>
      </c>
      <c r="BU15" s="22">
        <v>0</v>
      </c>
      <c r="BV15" s="22">
        <f t="shared" si="45"/>
        <v>0</v>
      </c>
      <c r="BW15" s="23" t="str">
        <f>IF(SUMPRODUCT($J$69:BV$69,$J15:BV15)&lt;0.5, "Pending", IF(BV15&lt;0.5, "Complete", "In Progress"))</f>
        <v>Complete</v>
      </c>
      <c r="BX15" s="22">
        <v>0</v>
      </c>
      <c r="BY15" s="22">
        <f t="shared" si="46"/>
        <v>0</v>
      </c>
      <c r="BZ15" s="23" t="str">
        <f>IF(SUMPRODUCT($J$69:BY$69,$J15:BY15)&lt;0.5, "Pending", IF(BY15&lt;0.5, "Complete", "In Progress"))</f>
        <v>Complete</v>
      </c>
      <c r="CA15" s="22">
        <v>0</v>
      </c>
      <c r="CB15" s="22">
        <f t="shared" si="47"/>
        <v>0</v>
      </c>
      <c r="CC15" s="23" t="str">
        <f>IF(SUMPRODUCT($J$69:CB$69,$J15:CB15)&lt;0.5, "Pending", IF(CB15&lt;0.5, "Complete", "In Progress"))</f>
        <v>Complete</v>
      </c>
      <c r="CD15" s="24"/>
      <c r="CE15" s="25">
        <f>SUMPRODUCT($H$69:AY$69,$H15:AY15)</f>
        <v>7</v>
      </c>
    </row>
    <row r="16" spans="1:83" ht="12.75" customHeight="1" x14ac:dyDescent="0.2">
      <c r="A16" s="16" t="s">
        <v>105</v>
      </c>
      <c r="B16" s="16" t="s">
        <v>137</v>
      </c>
      <c r="C16" s="16"/>
      <c r="D16" s="17"/>
      <c r="E16" s="177" t="s">
        <v>160</v>
      </c>
      <c r="F16" s="18" t="s">
        <v>129</v>
      </c>
      <c r="G16" s="19" t="e">
        <f t="shared" ca="1" si="23"/>
        <v>#REF!</v>
      </c>
      <c r="H16" s="20">
        <v>1</v>
      </c>
      <c r="I16" s="21">
        <v>5</v>
      </c>
      <c r="J16" s="22">
        <v>0</v>
      </c>
      <c r="K16" s="22">
        <f t="shared" si="24"/>
        <v>5</v>
      </c>
      <c r="L16" s="23" t="str">
        <f>IF(SUMPRODUCT($J$69:K$69,$J16:K16)&lt;0.5, "Pending", IF(K16&lt;0.5, "Complete", "In Progress"))</f>
        <v>Pending</v>
      </c>
      <c r="M16" s="22">
        <v>0</v>
      </c>
      <c r="N16" s="22">
        <f t="shared" si="25"/>
        <v>5</v>
      </c>
      <c r="O16" s="23" t="str">
        <f>IF(SUMPRODUCT($J$69:N$69,$J16:N16)&lt;0.5, "Pending", IF(N16&lt;0.5, "Complete", "In Progress"))</f>
        <v>Pending</v>
      </c>
      <c r="P16" s="22">
        <v>0</v>
      </c>
      <c r="Q16" s="22">
        <f t="shared" si="26"/>
        <v>5</v>
      </c>
      <c r="R16" s="23" t="str">
        <f>IF(SUMPRODUCT($J$69:Q$69,$J16:Q16)&lt;0.5, "Pending", IF(Q16&lt;0.5, "Complete", "In Progress"))</f>
        <v>Pending</v>
      </c>
      <c r="S16" s="22">
        <v>3</v>
      </c>
      <c r="T16" s="22">
        <f t="shared" si="27"/>
        <v>2</v>
      </c>
      <c r="U16" s="23" t="str">
        <f>IF(SUMPRODUCT($J$69:T$69,$J16:T16)&lt;0.5, "Pending", IF(T16&lt;0.5, "Complete", "In Progress"))</f>
        <v>In Progress</v>
      </c>
      <c r="V16" s="22">
        <v>2</v>
      </c>
      <c r="W16" s="22">
        <f t="shared" si="28"/>
        <v>0</v>
      </c>
      <c r="X16" s="23" t="str">
        <f>IF(SUMPRODUCT($J$69:W$69,$J16:W16)&lt;0.5, "Pending", IF(W16&lt;0.5, "Complete", "In Progress"))</f>
        <v>Complete</v>
      </c>
      <c r="Y16" s="22">
        <v>0</v>
      </c>
      <c r="Z16" s="22">
        <f t="shared" si="29"/>
        <v>0</v>
      </c>
      <c r="AA16" s="23" t="str">
        <f>IF(SUMPRODUCT($J$69:Z$69,$J16:Z16)&lt;0.5, "Pending", IF(Z16&lt;0.5, "Complete", "In Progress"))</f>
        <v>Complete</v>
      </c>
      <c r="AB16" s="22">
        <v>0</v>
      </c>
      <c r="AC16" s="22">
        <f t="shared" si="30"/>
        <v>0</v>
      </c>
      <c r="AD16" s="23" t="str">
        <f>IF(SUMPRODUCT($J$69:AC$69,$J16:AC16)&lt;0.5, "Pending", IF(AC16&lt;0.5, "Complete", "In Progress"))</f>
        <v>Complete</v>
      </c>
      <c r="AE16" s="22">
        <v>0</v>
      </c>
      <c r="AF16" s="22">
        <f t="shared" si="31"/>
        <v>0</v>
      </c>
      <c r="AG16" s="23" t="str">
        <f>IF(SUMPRODUCT($J$69:AF$69,$J16:AF16)&lt;0.5, "Pending", IF(AF16&lt;0.5, "Complete", "In Progress"))</f>
        <v>Complete</v>
      </c>
      <c r="AH16" s="22">
        <v>0</v>
      </c>
      <c r="AI16" s="22">
        <f t="shared" si="32"/>
        <v>0</v>
      </c>
      <c r="AJ16" s="23" t="str">
        <f>IF(SUMPRODUCT($J$69:AI$69,$J16:AI16)&lt;0.5, "Pending", IF(AI16&lt;0.5, "Complete", "In Progress"))</f>
        <v>Complete</v>
      </c>
      <c r="AK16" s="22">
        <v>0</v>
      </c>
      <c r="AL16" s="22">
        <f t="shared" si="33"/>
        <v>0</v>
      </c>
      <c r="AM16" s="23" t="str">
        <f>IF(SUMPRODUCT($J$69:AL$69,$J16:AL16)&lt;0.5, "Pending", IF(AL16&lt;0.5, "Complete", "In Progress"))</f>
        <v>Complete</v>
      </c>
      <c r="AN16" s="22">
        <v>0</v>
      </c>
      <c r="AO16" s="22">
        <f t="shared" si="34"/>
        <v>0</v>
      </c>
      <c r="AP16" s="23" t="str">
        <f>IF(SUMPRODUCT($J$69:AO$69,$J16:AO16)&lt;0.5, "Pending", IF(AO16&lt;0.5, "Complete", "In Progress"))</f>
        <v>Complete</v>
      </c>
      <c r="AQ16" s="22">
        <v>0</v>
      </c>
      <c r="AR16" s="22">
        <f t="shared" si="35"/>
        <v>0</v>
      </c>
      <c r="AS16" s="23" t="str">
        <f>IF(SUMPRODUCT($J$69:AR$69,$J16:AR16)&lt;0.5, "Pending", IF(AR16&lt;0.5, "Complete", "In Progress"))</f>
        <v>Complete</v>
      </c>
      <c r="AT16" s="22">
        <v>0</v>
      </c>
      <c r="AU16" s="22">
        <f t="shared" si="36"/>
        <v>0</v>
      </c>
      <c r="AV16" s="23" t="str">
        <f>IF(SUMPRODUCT($J$69:AU$69,$J16:AU16)&lt;0.5, "Pending", IF(AU16&lt;0.5, "Complete", "In Progress"))</f>
        <v>Complete</v>
      </c>
      <c r="AW16" s="22">
        <v>0</v>
      </c>
      <c r="AX16" s="22">
        <f t="shared" si="37"/>
        <v>0</v>
      </c>
      <c r="AY16" s="23" t="str">
        <f>IF(SUMPRODUCT($J$69:AX$69,$J16:AX16)&lt;0.5, "Pending", IF(AX16&lt;0.5, "Complete", "In Progress"))</f>
        <v>Complete</v>
      </c>
      <c r="AZ16" s="22">
        <v>0</v>
      </c>
      <c r="BA16" s="22">
        <f t="shared" si="38"/>
        <v>0</v>
      </c>
      <c r="BB16" s="23" t="str">
        <f>IF(SUMPRODUCT($J$69:BA$69,$J16:BA16)&lt;0.5, "Pending", IF(BA16&lt;0.5, "Complete", "In Progress"))</f>
        <v>Complete</v>
      </c>
      <c r="BC16" s="22">
        <v>0</v>
      </c>
      <c r="BD16" s="22">
        <f t="shared" si="39"/>
        <v>0</v>
      </c>
      <c r="BE16" s="23" t="str">
        <f>IF(SUMPRODUCT($J$69:BD$69,$J16:BD16)&lt;0.5, "Pending", IF(BD16&lt;0.5, "Complete", "In Progress"))</f>
        <v>Complete</v>
      </c>
      <c r="BF16" s="22">
        <v>0</v>
      </c>
      <c r="BG16" s="22">
        <f t="shared" si="40"/>
        <v>0</v>
      </c>
      <c r="BH16" s="23" t="str">
        <f>IF(SUMPRODUCT($J$69:BG$69,$J16:BG16)&lt;0.5, "Pending", IF(BG16&lt;0.5, "Complete", "In Progress"))</f>
        <v>Complete</v>
      </c>
      <c r="BI16" s="22">
        <v>0</v>
      </c>
      <c r="BJ16" s="22">
        <f t="shared" si="41"/>
        <v>0</v>
      </c>
      <c r="BK16" s="23" t="str">
        <f>IF(SUMPRODUCT($J$69:BJ$69,$J16:BJ16)&lt;0.5, "Pending", IF(BJ16&lt;0.5, "Complete", "In Progress"))</f>
        <v>Complete</v>
      </c>
      <c r="BL16" s="22">
        <v>0</v>
      </c>
      <c r="BM16" s="22">
        <f t="shared" si="42"/>
        <v>0</v>
      </c>
      <c r="BN16" s="23" t="str">
        <f>IF(SUMPRODUCT($J$69:BM$69,$J16:BM16)&lt;0.5, "Pending", IF(BM16&lt;0.5, "Complete", "In Progress"))</f>
        <v>Complete</v>
      </c>
      <c r="BO16" s="22">
        <v>0</v>
      </c>
      <c r="BP16" s="22">
        <f t="shared" si="43"/>
        <v>0</v>
      </c>
      <c r="BQ16" s="23" t="str">
        <f>IF(SUMPRODUCT($J$69:BP$69,$J16:BP16)&lt;0.5, "Pending", IF(BP16&lt;0.5, "Complete", "In Progress"))</f>
        <v>Complete</v>
      </c>
      <c r="BR16" s="22">
        <v>0</v>
      </c>
      <c r="BS16" s="22">
        <f t="shared" si="44"/>
        <v>0</v>
      </c>
      <c r="BT16" s="23" t="str">
        <f>IF(SUMPRODUCT($J$69:BS$69,$J16:BS16)&lt;0.5, "Pending", IF(BS16&lt;0.5, "Complete", "In Progress"))</f>
        <v>Complete</v>
      </c>
      <c r="BU16" s="22">
        <v>0</v>
      </c>
      <c r="BV16" s="22">
        <f t="shared" si="45"/>
        <v>0</v>
      </c>
      <c r="BW16" s="23" t="str">
        <f>IF(SUMPRODUCT($J$69:BV$69,$J16:BV16)&lt;0.5, "Pending", IF(BV16&lt;0.5, "Complete", "In Progress"))</f>
        <v>Complete</v>
      </c>
      <c r="BX16" s="22">
        <v>0</v>
      </c>
      <c r="BY16" s="22">
        <f t="shared" si="46"/>
        <v>0</v>
      </c>
      <c r="BZ16" s="23" t="str">
        <f>IF(SUMPRODUCT($J$69:BY$69,$J16:BY16)&lt;0.5, "Pending", IF(BY16&lt;0.5, "Complete", "In Progress"))</f>
        <v>Complete</v>
      </c>
      <c r="CA16" s="22">
        <v>0</v>
      </c>
      <c r="CB16" s="22">
        <f t="shared" si="47"/>
        <v>0</v>
      </c>
      <c r="CC16" s="23" t="str">
        <f>IF(SUMPRODUCT($J$69:CB$69,$J16:CB16)&lt;0.5, "Pending", IF(CB16&lt;0.5, "Complete", "In Progress"))</f>
        <v>Complete</v>
      </c>
      <c r="CD16" s="24"/>
      <c r="CE16" s="25">
        <f>SUMPRODUCT($H$69:AY$69,$H16:AY16)</f>
        <v>5</v>
      </c>
    </row>
    <row r="17" spans="1:83" ht="12.75" customHeight="1" x14ac:dyDescent="0.2">
      <c r="A17" s="16" t="s">
        <v>105</v>
      </c>
      <c r="B17" s="16" t="s">
        <v>136</v>
      </c>
      <c r="C17" s="16"/>
      <c r="D17" s="17"/>
      <c r="E17" s="177" t="s">
        <v>160</v>
      </c>
      <c r="F17" s="18" t="s">
        <v>130</v>
      </c>
      <c r="G17" s="19" t="e">
        <f t="shared" ca="1" si="23"/>
        <v>#REF!</v>
      </c>
      <c r="H17" s="20">
        <v>1</v>
      </c>
      <c r="I17" s="21">
        <v>4</v>
      </c>
      <c r="J17" s="22">
        <v>0</v>
      </c>
      <c r="K17" s="22">
        <f t="shared" ref="K17" si="72">MAX(I17-J17, 0)</f>
        <v>4</v>
      </c>
      <c r="L17" s="23" t="str">
        <f>IF(SUMPRODUCT($J$69:K$69,$J17:K17)&lt;0.5, "Pending", IF(K17&lt;0.5, "Complete", "In Progress"))</f>
        <v>Pending</v>
      </c>
      <c r="M17" s="22">
        <v>0</v>
      </c>
      <c r="N17" s="22">
        <f t="shared" ref="N17" si="73">MAX(K17-M17,0)</f>
        <v>4</v>
      </c>
      <c r="O17" s="23" t="str">
        <f>IF(SUMPRODUCT($J$69:N$69,$J17:N17)&lt;0.5, "Pending", IF(N17&lt;0.5, "Complete", "In Progress"))</f>
        <v>Pending</v>
      </c>
      <c r="P17" s="22">
        <v>0</v>
      </c>
      <c r="Q17" s="22">
        <f t="shared" ref="Q17" si="74">MAX(N17-P17,0)</f>
        <v>4</v>
      </c>
      <c r="R17" s="23" t="str">
        <f>IF(SUMPRODUCT($J$69:Q$69,$J17:Q17)&lt;0.5, "Pending", IF(Q17&lt;0.5, "Complete", "In Progress"))</f>
        <v>Pending</v>
      </c>
      <c r="S17" s="22">
        <v>4</v>
      </c>
      <c r="T17" s="22">
        <f t="shared" ref="T17" si="75">MAX(Q17-S17,0)</f>
        <v>0</v>
      </c>
      <c r="U17" s="23" t="str">
        <f>IF(SUMPRODUCT($J$69:T$69,$J17:T17)&lt;0.5, "Pending", IF(T17&lt;0.5, "Complete", "In Progress"))</f>
        <v>Complete</v>
      </c>
      <c r="V17" s="22">
        <v>0</v>
      </c>
      <c r="W17" s="22">
        <f t="shared" ref="W17" si="76">MAX(T17-V17,0)</f>
        <v>0</v>
      </c>
      <c r="X17" s="23" t="str">
        <f>IF(SUMPRODUCT($J$69:W$69,$J17:W17)&lt;0.5, "Pending", IF(W17&lt;0.5, "Complete", "In Progress"))</f>
        <v>Complete</v>
      </c>
      <c r="Y17" s="22">
        <v>0</v>
      </c>
      <c r="Z17" s="22">
        <f t="shared" ref="Z17" si="77">MAX(W17-Y17,0)</f>
        <v>0</v>
      </c>
      <c r="AA17" s="23" t="str">
        <f>IF(SUMPRODUCT($J$69:Z$69,$J17:Z17)&lt;0.5, "Pending", IF(Z17&lt;0.5, "Complete", "In Progress"))</f>
        <v>Complete</v>
      </c>
      <c r="AB17" s="22">
        <v>0</v>
      </c>
      <c r="AC17" s="22">
        <f t="shared" ref="AC17" si="78">MAX(Z17-AB17,0)</f>
        <v>0</v>
      </c>
      <c r="AD17" s="23" t="str">
        <f>IF(SUMPRODUCT($J$69:AC$69,$J17:AC17)&lt;0.5, "Pending", IF(AC17&lt;0.5, "Complete", "In Progress"))</f>
        <v>Complete</v>
      </c>
      <c r="AE17" s="22">
        <v>0</v>
      </c>
      <c r="AF17" s="22">
        <f t="shared" ref="AF17" si="79">MAX(AC17-AE17,0)</f>
        <v>0</v>
      </c>
      <c r="AG17" s="23" t="str">
        <f>IF(SUMPRODUCT($J$69:AF$69,$J17:AF17)&lt;0.5, "Pending", IF(AF17&lt;0.5, "Complete", "In Progress"))</f>
        <v>Complete</v>
      </c>
      <c r="AH17" s="22">
        <v>0</v>
      </c>
      <c r="AI17" s="22">
        <f t="shared" ref="AI17" si="80">MAX(AF17-AH17,0)</f>
        <v>0</v>
      </c>
      <c r="AJ17" s="23" t="str">
        <f>IF(SUMPRODUCT($J$69:AI$69,$J17:AI17)&lt;0.5, "Pending", IF(AI17&lt;0.5, "Complete", "In Progress"))</f>
        <v>Complete</v>
      </c>
      <c r="AK17" s="22">
        <v>0</v>
      </c>
      <c r="AL17" s="22">
        <f t="shared" ref="AL17" si="81">MAX(AI17-AK17,0)</f>
        <v>0</v>
      </c>
      <c r="AM17" s="23" t="str">
        <f>IF(SUMPRODUCT($J$69:AL$69,$J17:AL17)&lt;0.5, "Pending", IF(AL17&lt;0.5, "Complete", "In Progress"))</f>
        <v>Complete</v>
      </c>
      <c r="AN17" s="22">
        <v>0</v>
      </c>
      <c r="AO17" s="22">
        <f t="shared" ref="AO17" si="82">MAX(AL17-AN17,0)</f>
        <v>0</v>
      </c>
      <c r="AP17" s="23" t="str">
        <f>IF(SUMPRODUCT($J$69:AO$69,$J17:AO17)&lt;0.5, "Pending", IF(AO17&lt;0.5, "Complete", "In Progress"))</f>
        <v>Complete</v>
      </c>
      <c r="AQ17" s="22">
        <v>0</v>
      </c>
      <c r="AR17" s="22">
        <f t="shared" ref="AR17" si="83">MAX(AO17-AQ17,0)</f>
        <v>0</v>
      </c>
      <c r="AS17" s="23" t="str">
        <f>IF(SUMPRODUCT($J$69:AR$69,$J17:AR17)&lt;0.5, "Pending", IF(AR17&lt;0.5, "Complete", "In Progress"))</f>
        <v>Complete</v>
      </c>
      <c r="AT17" s="22">
        <v>0</v>
      </c>
      <c r="AU17" s="22">
        <f t="shared" ref="AU17" si="84">MAX(AR17-AT17,0)</f>
        <v>0</v>
      </c>
      <c r="AV17" s="23" t="str">
        <f>IF(SUMPRODUCT($J$69:AU$69,$J17:AU17)&lt;0.5, "Pending", IF(AU17&lt;0.5, "Complete", "In Progress"))</f>
        <v>Complete</v>
      </c>
      <c r="AW17" s="22">
        <v>0</v>
      </c>
      <c r="AX17" s="22">
        <f t="shared" ref="AX17" si="85">MAX(AU17-AW17,0)</f>
        <v>0</v>
      </c>
      <c r="AY17" s="23" t="str">
        <f>IF(SUMPRODUCT($J$69:AX$69,$J17:AX17)&lt;0.5, "Pending", IF(AX17&lt;0.5, "Complete", "In Progress"))</f>
        <v>Complete</v>
      </c>
      <c r="AZ17" s="22">
        <v>0</v>
      </c>
      <c r="BA17" s="22">
        <f t="shared" ref="BA17" si="86">MAX(AX17-AZ17,0)</f>
        <v>0</v>
      </c>
      <c r="BB17" s="23" t="str">
        <f>IF(SUMPRODUCT($J$69:BA$69,$J17:BA17)&lt;0.5, "Pending", IF(BA17&lt;0.5, "Complete", "In Progress"))</f>
        <v>Complete</v>
      </c>
      <c r="BC17" s="22">
        <v>0</v>
      </c>
      <c r="BD17" s="22">
        <f t="shared" ref="BD17" si="87">MAX(BA17-BC17,0)</f>
        <v>0</v>
      </c>
      <c r="BE17" s="23" t="str">
        <f>IF(SUMPRODUCT($J$69:BD$69,$J17:BD17)&lt;0.5, "Pending", IF(BD17&lt;0.5, "Complete", "In Progress"))</f>
        <v>Complete</v>
      </c>
      <c r="BF17" s="22">
        <v>0</v>
      </c>
      <c r="BG17" s="22">
        <f t="shared" ref="BG17" si="88">MAX(BD17-BF17,0)</f>
        <v>0</v>
      </c>
      <c r="BH17" s="23" t="str">
        <f>IF(SUMPRODUCT($J$69:BG$69,$J17:BG17)&lt;0.5, "Pending", IF(BG17&lt;0.5, "Complete", "In Progress"))</f>
        <v>Complete</v>
      </c>
      <c r="BI17" s="22">
        <v>0</v>
      </c>
      <c r="BJ17" s="22">
        <f t="shared" ref="BJ17" si="89">MAX(BG17-BI17,0)</f>
        <v>0</v>
      </c>
      <c r="BK17" s="23" t="str">
        <f>IF(SUMPRODUCT($J$69:BJ$69,$J17:BJ17)&lt;0.5, "Pending", IF(BJ17&lt;0.5, "Complete", "In Progress"))</f>
        <v>Complete</v>
      </c>
      <c r="BL17" s="22">
        <v>0</v>
      </c>
      <c r="BM17" s="22">
        <f t="shared" ref="BM17" si="90">MAX(BJ17-BL17,0)</f>
        <v>0</v>
      </c>
      <c r="BN17" s="23" t="str">
        <f>IF(SUMPRODUCT($J$69:BM$69,$J17:BM17)&lt;0.5, "Pending", IF(BM17&lt;0.5, "Complete", "In Progress"))</f>
        <v>Complete</v>
      </c>
      <c r="BO17" s="22">
        <v>0</v>
      </c>
      <c r="BP17" s="22">
        <f t="shared" ref="BP17" si="91">MAX(BM17-BO17,0)</f>
        <v>0</v>
      </c>
      <c r="BQ17" s="23" t="str">
        <f>IF(SUMPRODUCT($J$69:BP$69,$J17:BP17)&lt;0.5, "Pending", IF(BP17&lt;0.5, "Complete", "In Progress"))</f>
        <v>Complete</v>
      </c>
      <c r="BR17" s="22">
        <v>0</v>
      </c>
      <c r="BS17" s="22">
        <f t="shared" ref="BS17" si="92">MAX(BP17-BR17,0)</f>
        <v>0</v>
      </c>
      <c r="BT17" s="23" t="str">
        <f>IF(SUMPRODUCT($J$69:BS$69,$J17:BS17)&lt;0.5, "Pending", IF(BS17&lt;0.5, "Complete", "In Progress"))</f>
        <v>Complete</v>
      </c>
      <c r="BU17" s="22">
        <v>0</v>
      </c>
      <c r="BV17" s="22">
        <f t="shared" ref="BV17" si="93">MAX(BS17-BU17,0)</f>
        <v>0</v>
      </c>
      <c r="BW17" s="23" t="str">
        <f>IF(SUMPRODUCT($J$69:BV$69,$J17:BV17)&lt;0.5, "Pending", IF(BV17&lt;0.5, "Complete", "In Progress"))</f>
        <v>Complete</v>
      </c>
      <c r="BX17" s="22">
        <v>0</v>
      </c>
      <c r="BY17" s="22">
        <f t="shared" ref="BY17" si="94">MAX(BV17-BX17,0)</f>
        <v>0</v>
      </c>
      <c r="BZ17" s="23" t="str">
        <f>IF(SUMPRODUCT($J$69:BY$69,$J17:BY17)&lt;0.5, "Pending", IF(BY17&lt;0.5, "Complete", "In Progress"))</f>
        <v>Complete</v>
      </c>
      <c r="CA17" s="22">
        <v>0</v>
      </c>
      <c r="CB17" s="22">
        <f t="shared" ref="CB17" si="95">MAX(BY17-CA17,0)</f>
        <v>0</v>
      </c>
      <c r="CC17" s="23" t="str">
        <f>IF(SUMPRODUCT($J$69:CB$69,$J17:CB17)&lt;0.5, "Pending", IF(CB17&lt;0.5, "Complete", "In Progress"))</f>
        <v>Complete</v>
      </c>
      <c r="CD17" s="24"/>
      <c r="CE17" s="25">
        <f>SUMPRODUCT($H$69:AY$69,$H17:AY17)</f>
        <v>4</v>
      </c>
    </row>
    <row r="18" spans="1:83" x14ac:dyDescent="0.2">
      <c r="A18" s="16" t="s">
        <v>105</v>
      </c>
      <c r="B18" s="16" t="s">
        <v>120</v>
      </c>
      <c r="C18" s="16"/>
      <c r="D18" s="17"/>
      <c r="E18" s="177" t="s">
        <v>144</v>
      </c>
      <c r="F18" s="18" t="s">
        <v>131</v>
      </c>
      <c r="G18" s="19" t="e">
        <f t="shared" ca="1" si="23"/>
        <v>#REF!</v>
      </c>
      <c r="H18" s="20">
        <v>1</v>
      </c>
      <c r="I18" s="21">
        <v>24</v>
      </c>
      <c r="J18" s="22">
        <v>0</v>
      </c>
      <c r="K18" s="22">
        <f t="shared" si="24"/>
        <v>24</v>
      </c>
      <c r="L18" s="23" t="str">
        <f>IF(SUMPRODUCT($J$69:K$69,$J18:K18)&lt;0.5, "Pending", IF(K18&lt;0.5, "Complete", "In Progress"))</f>
        <v>Pending</v>
      </c>
      <c r="M18" s="22">
        <v>1</v>
      </c>
      <c r="N18" s="22">
        <f t="shared" si="25"/>
        <v>23</v>
      </c>
      <c r="O18" s="23" t="str">
        <f>IF(SUMPRODUCT($J$69:N$69,$J18:N18)&lt;0.5, "Pending", IF(N18&lt;0.5, "Complete", "In Progress"))</f>
        <v>In Progress</v>
      </c>
      <c r="P18" s="22">
        <v>1</v>
      </c>
      <c r="Q18" s="22">
        <f t="shared" si="26"/>
        <v>22</v>
      </c>
      <c r="R18" s="23" t="str">
        <f>IF(SUMPRODUCT($J$69:Q$69,$J18:Q18)&lt;0.5, "Pending", IF(Q18&lt;0.5, "Complete", "In Progress"))</f>
        <v>In Progress</v>
      </c>
      <c r="S18" s="22">
        <v>1</v>
      </c>
      <c r="T18" s="22">
        <f t="shared" si="27"/>
        <v>21</v>
      </c>
      <c r="U18" s="23" t="str">
        <f>IF(SUMPRODUCT($J$69:T$69,$J18:T18)&lt;0.5, "Pending", IF(T18&lt;0.5, "Complete", "In Progress"))</f>
        <v>In Progress</v>
      </c>
      <c r="V18" s="22">
        <v>2</v>
      </c>
      <c r="W18" s="22">
        <f t="shared" si="28"/>
        <v>19</v>
      </c>
      <c r="X18" s="23" t="str">
        <f>IF(SUMPRODUCT($J$69:W$69,$J18:W18)&lt;0.5, "Pending", IF(W18&lt;0.5, "Complete", "In Progress"))</f>
        <v>In Progress</v>
      </c>
      <c r="Y18" s="22">
        <v>5</v>
      </c>
      <c r="Z18" s="22">
        <f t="shared" si="29"/>
        <v>14</v>
      </c>
      <c r="AA18" s="23" t="str">
        <f>IF(SUMPRODUCT($J$69:Z$69,$J18:Z18)&lt;0.5, "Pending", IF(Z18&lt;0.5, "Complete", "In Progress"))</f>
        <v>In Progress</v>
      </c>
      <c r="AB18" s="22">
        <v>2</v>
      </c>
      <c r="AC18" s="22">
        <f t="shared" si="30"/>
        <v>12</v>
      </c>
      <c r="AD18" s="23" t="str">
        <f>IF(SUMPRODUCT($J$69:AC$69,$J18:AC18)&lt;0.5, "Pending", IF(AC18&lt;0.5, "Complete", "In Progress"))</f>
        <v>In Progress</v>
      </c>
      <c r="AE18" s="22">
        <v>3</v>
      </c>
      <c r="AF18" s="22">
        <f t="shared" si="31"/>
        <v>9</v>
      </c>
      <c r="AG18" s="23" t="str">
        <f>IF(SUMPRODUCT($J$69:AF$69,$J18:AF18)&lt;0.5, "Pending", IF(AF18&lt;0.5, "Complete", "In Progress"))</f>
        <v>In Progress</v>
      </c>
      <c r="AH18" s="22">
        <v>3</v>
      </c>
      <c r="AI18" s="22">
        <f t="shared" si="32"/>
        <v>6</v>
      </c>
      <c r="AJ18" s="23" t="str">
        <f>IF(SUMPRODUCT($J$69:AI$69,$J18:AI18)&lt;0.5, "Pending", IF(AI18&lt;0.5, "Complete", "In Progress"))</f>
        <v>In Progress</v>
      </c>
      <c r="AK18" s="22">
        <v>1</v>
      </c>
      <c r="AL18" s="22">
        <f t="shared" si="33"/>
        <v>5</v>
      </c>
      <c r="AM18" s="23" t="str">
        <f>IF(SUMPRODUCT($J$69:AL$69,$J18:AL18)&lt;0.5, "Pending", IF(AL18&lt;0.5, "Complete", "In Progress"))</f>
        <v>In Progress</v>
      </c>
      <c r="AN18" s="22">
        <v>4</v>
      </c>
      <c r="AO18" s="22">
        <f t="shared" si="34"/>
        <v>1</v>
      </c>
      <c r="AP18" s="23" t="str">
        <f>IF(SUMPRODUCT($J$69:AO$69,$J18:AO18)&lt;0.5, "Pending", IF(AO18&lt;0.5, "Complete", "In Progress"))</f>
        <v>In Progress</v>
      </c>
      <c r="AQ18" s="22">
        <v>1</v>
      </c>
      <c r="AR18" s="22">
        <f t="shared" si="35"/>
        <v>0</v>
      </c>
      <c r="AS18" s="23" t="str">
        <f>IF(SUMPRODUCT($J$69:AR$69,$J18:AR18)&lt;0.5, "Pending", IF(AR18&lt;0.5, "Complete", "In Progress"))</f>
        <v>Complete</v>
      </c>
      <c r="AT18" s="22">
        <v>0</v>
      </c>
      <c r="AU18" s="22">
        <f t="shared" si="36"/>
        <v>0</v>
      </c>
      <c r="AV18" s="23" t="str">
        <f>IF(SUMPRODUCT($J$69:AU$69,$J18:AU18)&lt;0.5, "Pending", IF(AU18&lt;0.5, "Complete", "In Progress"))</f>
        <v>Complete</v>
      </c>
      <c r="AW18" s="22">
        <v>0</v>
      </c>
      <c r="AX18" s="22">
        <f t="shared" si="37"/>
        <v>0</v>
      </c>
      <c r="AY18" s="23" t="str">
        <f>IF(SUMPRODUCT($J$69:AX$69,$J18:AX18)&lt;0.5, "Pending", IF(AX18&lt;0.5, "Complete", "In Progress"))</f>
        <v>Complete</v>
      </c>
      <c r="AZ18" s="22">
        <v>0</v>
      </c>
      <c r="BA18" s="22">
        <f t="shared" si="38"/>
        <v>0</v>
      </c>
      <c r="BB18" s="23" t="str">
        <f>IF(SUMPRODUCT($J$69:BA$69,$J18:BA18)&lt;0.5, "Pending", IF(BA18&lt;0.5, "Complete", "In Progress"))</f>
        <v>Complete</v>
      </c>
      <c r="BC18" s="22">
        <v>0</v>
      </c>
      <c r="BD18" s="22">
        <f t="shared" si="39"/>
        <v>0</v>
      </c>
      <c r="BE18" s="23" t="str">
        <f>IF(SUMPRODUCT($J$69:BD$69,$J18:BD18)&lt;0.5, "Pending", IF(BD18&lt;0.5, "Complete", "In Progress"))</f>
        <v>Complete</v>
      </c>
      <c r="BF18" s="22">
        <v>0</v>
      </c>
      <c r="BG18" s="22">
        <f t="shared" si="40"/>
        <v>0</v>
      </c>
      <c r="BH18" s="23" t="str">
        <f>IF(SUMPRODUCT($J$69:BG$69,$J18:BG18)&lt;0.5, "Pending", IF(BG18&lt;0.5, "Complete", "In Progress"))</f>
        <v>Complete</v>
      </c>
      <c r="BI18" s="22">
        <v>0</v>
      </c>
      <c r="BJ18" s="22">
        <f t="shared" si="41"/>
        <v>0</v>
      </c>
      <c r="BK18" s="23" t="str">
        <f>IF(SUMPRODUCT($J$69:BJ$69,$J18:BJ18)&lt;0.5, "Pending", IF(BJ18&lt;0.5, "Complete", "In Progress"))</f>
        <v>Complete</v>
      </c>
      <c r="BL18" s="22">
        <v>0</v>
      </c>
      <c r="BM18" s="22">
        <f t="shared" si="42"/>
        <v>0</v>
      </c>
      <c r="BN18" s="23" t="str">
        <f>IF(SUMPRODUCT($J$69:BM$69,$J18:BM18)&lt;0.5, "Pending", IF(BM18&lt;0.5, "Complete", "In Progress"))</f>
        <v>Complete</v>
      </c>
      <c r="BO18" s="22">
        <v>0</v>
      </c>
      <c r="BP18" s="22">
        <f t="shared" si="43"/>
        <v>0</v>
      </c>
      <c r="BQ18" s="23" t="str">
        <f>IF(SUMPRODUCT($J$69:BP$69,$J18:BP18)&lt;0.5, "Pending", IF(BP18&lt;0.5, "Complete", "In Progress"))</f>
        <v>Complete</v>
      </c>
      <c r="BR18" s="22">
        <v>0</v>
      </c>
      <c r="BS18" s="22">
        <f t="shared" si="44"/>
        <v>0</v>
      </c>
      <c r="BT18" s="23" t="str">
        <f>IF(SUMPRODUCT($J$69:BS$69,$J18:BS18)&lt;0.5, "Pending", IF(BS18&lt;0.5, "Complete", "In Progress"))</f>
        <v>Complete</v>
      </c>
      <c r="BU18" s="22">
        <v>0</v>
      </c>
      <c r="BV18" s="22">
        <f t="shared" si="45"/>
        <v>0</v>
      </c>
      <c r="BW18" s="23" t="str">
        <f>IF(SUMPRODUCT($J$69:BV$69,$J18:BV18)&lt;0.5, "Pending", IF(BV18&lt;0.5, "Complete", "In Progress"))</f>
        <v>Complete</v>
      </c>
      <c r="BX18" s="22">
        <v>0</v>
      </c>
      <c r="BY18" s="22">
        <f t="shared" si="46"/>
        <v>0</v>
      </c>
      <c r="BZ18" s="23" t="str">
        <f>IF(SUMPRODUCT($J$69:BY$69,$J18:BY18)&lt;0.5, "Pending", IF(BY18&lt;0.5, "Complete", "In Progress"))</f>
        <v>Complete</v>
      </c>
      <c r="CA18" s="22">
        <v>0</v>
      </c>
      <c r="CB18" s="22">
        <f t="shared" si="47"/>
        <v>0</v>
      </c>
      <c r="CC18" s="23" t="str">
        <f>IF(SUMPRODUCT($J$69:CB$69,$J18:CB18)&lt;0.5, "Pending", IF(CB18&lt;0.5, "Complete", "In Progress"))</f>
        <v>Complete</v>
      </c>
      <c r="CD18" s="24"/>
      <c r="CE18" s="25">
        <f>SUMPRODUCT($H$69:AY$69,$H18:AY18)</f>
        <v>24</v>
      </c>
    </row>
    <row r="19" spans="1:83" ht="12.75" customHeight="1" x14ac:dyDescent="0.2">
      <c r="A19" s="16" t="s">
        <v>105</v>
      </c>
      <c r="B19" s="16" t="s">
        <v>120</v>
      </c>
      <c r="C19" s="16"/>
      <c r="D19" s="17"/>
      <c r="E19" s="177" t="s">
        <v>138</v>
      </c>
      <c r="F19" s="18" t="s">
        <v>132</v>
      </c>
      <c r="G19" s="19" t="e">
        <f t="shared" ca="1" si="23"/>
        <v>#REF!</v>
      </c>
      <c r="H19" s="20">
        <v>1</v>
      </c>
      <c r="I19" s="21">
        <v>2</v>
      </c>
      <c r="J19" s="22">
        <v>0</v>
      </c>
      <c r="K19" s="22">
        <f t="shared" si="24"/>
        <v>2</v>
      </c>
      <c r="L19" s="23" t="str">
        <f>IF(SUMPRODUCT($J$69:K$69,$J19:K19)&lt;0.5, "Pending", IF(K19&lt;0.5, "Complete", "In Progress"))</f>
        <v>Pending</v>
      </c>
      <c r="M19" s="22">
        <v>0</v>
      </c>
      <c r="N19" s="22">
        <f t="shared" si="25"/>
        <v>2</v>
      </c>
      <c r="O19" s="23" t="str">
        <f>IF(SUMPRODUCT($J$69:N$69,$J19:N19)&lt;0.5, "Pending", IF(N19&lt;0.5, "Complete", "In Progress"))</f>
        <v>Pending</v>
      </c>
      <c r="P19" s="22">
        <v>0</v>
      </c>
      <c r="Q19" s="22">
        <f t="shared" si="26"/>
        <v>2</v>
      </c>
      <c r="R19" s="23" t="str">
        <f>IF(SUMPRODUCT($J$69:Q$69,$J19:Q19)&lt;0.5, "Pending", IF(Q19&lt;0.5, "Complete", "In Progress"))</f>
        <v>Pending</v>
      </c>
      <c r="S19" s="22">
        <v>0</v>
      </c>
      <c r="T19" s="22">
        <f t="shared" si="27"/>
        <v>2</v>
      </c>
      <c r="U19" s="23" t="str">
        <f>IF(SUMPRODUCT($J$69:T$69,$J19:T19)&lt;0.5, "Pending", IF(T19&lt;0.5, "Complete", "In Progress"))</f>
        <v>Pending</v>
      </c>
      <c r="V19" s="22">
        <v>0</v>
      </c>
      <c r="W19" s="22">
        <f t="shared" si="28"/>
        <v>2</v>
      </c>
      <c r="X19" s="23" t="str">
        <f>IF(SUMPRODUCT($J$69:W$69,$J19:W19)&lt;0.5, "Pending", IF(W19&lt;0.5, "Complete", "In Progress"))</f>
        <v>Pending</v>
      </c>
      <c r="Y19" s="22">
        <v>0</v>
      </c>
      <c r="Z19" s="22">
        <f t="shared" si="29"/>
        <v>2</v>
      </c>
      <c r="AA19" s="23" t="str">
        <f>IF(SUMPRODUCT($J$69:Z$69,$J19:Z19)&lt;0.5, "Pending", IF(Z19&lt;0.5, "Complete", "In Progress"))</f>
        <v>Pending</v>
      </c>
      <c r="AB19" s="22">
        <v>2</v>
      </c>
      <c r="AC19" s="22">
        <f t="shared" si="30"/>
        <v>0</v>
      </c>
      <c r="AD19" s="23" t="str">
        <f>IF(SUMPRODUCT($J$69:AC$69,$J19:AC19)&lt;0.5, "Pending", IF(AC19&lt;0.5, "Complete", "In Progress"))</f>
        <v>Complete</v>
      </c>
      <c r="AE19" s="22">
        <v>0</v>
      </c>
      <c r="AF19" s="22">
        <f t="shared" si="31"/>
        <v>0</v>
      </c>
      <c r="AG19" s="23" t="str">
        <f>IF(SUMPRODUCT($J$69:AF$69,$J19:AF19)&lt;0.5, "Pending", IF(AF19&lt;0.5, "Complete", "In Progress"))</f>
        <v>Complete</v>
      </c>
      <c r="AH19" s="22">
        <v>0</v>
      </c>
      <c r="AI19" s="22">
        <f t="shared" si="32"/>
        <v>0</v>
      </c>
      <c r="AJ19" s="23" t="str">
        <f>IF(SUMPRODUCT($J$69:AI$69,$J19:AI19)&lt;0.5, "Pending", IF(AI19&lt;0.5, "Complete", "In Progress"))</f>
        <v>Complete</v>
      </c>
      <c r="AK19" s="22">
        <v>0</v>
      </c>
      <c r="AL19" s="22">
        <f t="shared" si="33"/>
        <v>0</v>
      </c>
      <c r="AM19" s="23" t="str">
        <f>IF(SUMPRODUCT($J$69:AL$69,$J19:AL19)&lt;0.5, "Pending", IF(AL19&lt;0.5, "Complete", "In Progress"))</f>
        <v>Complete</v>
      </c>
      <c r="AN19" s="22">
        <v>0</v>
      </c>
      <c r="AO19" s="22">
        <f t="shared" si="34"/>
        <v>0</v>
      </c>
      <c r="AP19" s="23" t="str">
        <f>IF(SUMPRODUCT($J$69:AO$69,$J19:AO19)&lt;0.5, "Pending", IF(AO19&lt;0.5, "Complete", "In Progress"))</f>
        <v>Complete</v>
      </c>
      <c r="AQ19" s="22">
        <v>0</v>
      </c>
      <c r="AR19" s="22">
        <f t="shared" si="35"/>
        <v>0</v>
      </c>
      <c r="AS19" s="23" t="str">
        <f>IF(SUMPRODUCT($J$69:AR$69,$J19:AR19)&lt;0.5, "Pending", IF(AR19&lt;0.5, "Complete", "In Progress"))</f>
        <v>Complete</v>
      </c>
      <c r="AT19" s="22">
        <v>0</v>
      </c>
      <c r="AU19" s="22">
        <f t="shared" si="36"/>
        <v>0</v>
      </c>
      <c r="AV19" s="23" t="str">
        <f>IF(SUMPRODUCT($J$69:AU$69,$J19:AU19)&lt;0.5, "Pending", IF(AU19&lt;0.5, "Complete", "In Progress"))</f>
        <v>Complete</v>
      </c>
      <c r="AW19" s="22">
        <v>0</v>
      </c>
      <c r="AX19" s="22">
        <f t="shared" si="37"/>
        <v>0</v>
      </c>
      <c r="AY19" s="23" t="str">
        <f>IF(SUMPRODUCT($J$69:AX$69,$J19:AX19)&lt;0.5, "Pending", IF(AX19&lt;0.5, "Complete", "In Progress"))</f>
        <v>Complete</v>
      </c>
      <c r="AZ19" s="22">
        <v>0</v>
      </c>
      <c r="BA19" s="22">
        <f t="shared" si="38"/>
        <v>0</v>
      </c>
      <c r="BB19" s="23" t="str">
        <f>IF(SUMPRODUCT($J$69:BA$69,$J19:BA19)&lt;0.5, "Pending", IF(BA19&lt;0.5, "Complete", "In Progress"))</f>
        <v>Complete</v>
      </c>
      <c r="BC19" s="22">
        <v>0</v>
      </c>
      <c r="BD19" s="22">
        <f t="shared" si="39"/>
        <v>0</v>
      </c>
      <c r="BE19" s="23" t="str">
        <f>IF(SUMPRODUCT($J$69:BD$69,$J19:BD19)&lt;0.5, "Pending", IF(BD19&lt;0.5, "Complete", "In Progress"))</f>
        <v>Complete</v>
      </c>
      <c r="BF19" s="22">
        <v>0</v>
      </c>
      <c r="BG19" s="22">
        <f t="shared" si="40"/>
        <v>0</v>
      </c>
      <c r="BH19" s="23" t="str">
        <f>IF(SUMPRODUCT($J$69:BG$69,$J19:BG19)&lt;0.5, "Pending", IF(BG19&lt;0.5, "Complete", "In Progress"))</f>
        <v>Complete</v>
      </c>
      <c r="BI19" s="22">
        <v>0</v>
      </c>
      <c r="BJ19" s="22">
        <f t="shared" si="41"/>
        <v>0</v>
      </c>
      <c r="BK19" s="23" t="str">
        <f>IF(SUMPRODUCT($J$69:BJ$69,$J19:BJ19)&lt;0.5, "Pending", IF(BJ19&lt;0.5, "Complete", "In Progress"))</f>
        <v>Complete</v>
      </c>
      <c r="BL19" s="22">
        <v>0</v>
      </c>
      <c r="BM19" s="22">
        <f t="shared" si="42"/>
        <v>0</v>
      </c>
      <c r="BN19" s="23" t="str">
        <f>IF(SUMPRODUCT($J$69:BM$69,$J19:BM19)&lt;0.5, "Pending", IF(BM19&lt;0.5, "Complete", "In Progress"))</f>
        <v>Complete</v>
      </c>
      <c r="BO19" s="22">
        <v>0</v>
      </c>
      <c r="BP19" s="22">
        <f t="shared" si="43"/>
        <v>0</v>
      </c>
      <c r="BQ19" s="23" t="str">
        <f>IF(SUMPRODUCT($J$69:BP$69,$J19:BP19)&lt;0.5, "Pending", IF(BP19&lt;0.5, "Complete", "In Progress"))</f>
        <v>Complete</v>
      </c>
      <c r="BR19" s="22">
        <v>0</v>
      </c>
      <c r="BS19" s="22">
        <f t="shared" si="44"/>
        <v>0</v>
      </c>
      <c r="BT19" s="23" t="str">
        <f>IF(SUMPRODUCT($J$69:BS$69,$J19:BS19)&lt;0.5, "Pending", IF(BS19&lt;0.5, "Complete", "In Progress"))</f>
        <v>Complete</v>
      </c>
      <c r="BU19" s="22">
        <v>0</v>
      </c>
      <c r="BV19" s="22">
        <f t="shared" si="45"/>
        <v>0</v>
      </c>
      <c r="BW19" s="23" t="str">
        <f>IF(SUMPRODUCT($J$69:BV$69,$J19:BV19)&lt;0.5, "Pending", IF(BV19&lt;0.5, "Complete", "In Progress"))</f>
        <v>Complete</v>
      </c>
      <c r="BX19" s="22">
        <v>0</v>
      </c>
      <c r="BY19" s="22">
        <f t="shared" si="46"/>
        <v>0</v>
      </c>
      <c r="BZ19" s="23" t="str">
        <f>IF(SUMPRODUCT($J$69:BY$69,$J19:BY19)&lt;0.5, "Pending", IF(BY19&lt;0.5, "Complete", "In Progress"))</f>
        <v>Complete</v>
      </c>
      <c r="CA19" s="22">
        <v>0</v>
      </c>
      <c r="CB19" s="22">
        <f t="shared" si="47"/>
        <v>0</v>
      </c>
      <c r="CC19" s="23" t="str">
        <f>IF(SUMPRODUCT($J$69:CB$69,$J19:CB19)&lt;0.5, "Pending", IF(CB19&lt;0.5, "Complete", "In Progress"))</f>
        <v>Complete</v>
      </c>
      <c r="CD19" s="24"/>
      <c r="CE19" s="25">
        <f>SUMPRODUCT($H$69:AY$69,$H19:AY19)</f>
        <v>2</v>
      </c>
    </row>
    <row r="20" spans="1:83" x14ac:dyDescent="0.2">
      <c r="A20" s="16" t="s">
        <v>105</v>
      </c>
      <c r="B20" s="16" t="s">
        <v>120</v>
      </c>
      <c r="C20" s="16"/>
      <c r="D20" s="17"/>
      <c r="E20" s="177" t="s">
        <v>142</v>
      </c>
      <c r="F20" s="18" t="s">
        <v>131</v>
      </c>
      <c r="G20" s="19" t="e">
        <f t="shared" ca="1" si="23"/>
        <v>#REF!</v>
      </c>
      <c r="H20" s="20">
        <v>1</v>
      </c>
      <c r="I20" s="21">
        <v>30</v>
      </c>
      <c r="J20" s="22">
        <v>5</v>
      </c>
      <c r="K20" s="22">
        <f t="shared" ref="K20:K24" si="96">MAX(I20-J20, 0)</f>
        <v>25</v>
      </c>
      <c r="L20" s="23" t="str">
        <f>IF(SUMPRODUCT($J$69:K$69,$J20:K20)&lt;0.5, "Pending", IF(K20&lt;0.5, "Complete", "In Progress"))</f>
        <v>In Progress</v>
      </c>
      <c r="M20" s="22">
        <v>1</v>
      </c>
      <c r="N20" s="22">
        <f t="shared" ref="N20:N24" si="97">MAX(K20-M20,0)</f>
        <v>24</v>
      </c>
      <c r="O20" s="23" t="str">
        <f>IF(SUMPRODUCT($J$69:N$69,$J20:N20)&lt;0.5, "Pending", IF(N20&lt;0.5, "Complete", "In Progress"))</f>
        <v>In Progress</v>
      </c>
      <c r="P20" s="22">
        <v>1</v>
      </c>
      <c r="Q20" s="22">
        <f t="shared" ref="Q20:Q24" si="98">MAX(N20-P20,0)</f>
        <v>23</v>
      </c>
      <c r="R20" s="23" t="str">
        <f>IF(SUMPRODUCT($J$69:Q$69,$J20:Q20)&lt;0.5, "Pending", IF(Q20&lt;0.5, "Complete", "In Progress"))</f>
        <v>In Progress</v>
      </c>
      <c r="S20" s="22">
        <v>5</v>
      </c>
      <c r="T20" s="22">
        <f t="shared" ref="T20:T24" si="99">MAX(Q20-S20,0)</f>
        <v>18</v>
      </c>
      <c r="U20" s="23" t="str">
        <f>IF(SUMPRODUCT($J$69:T$69,$J20:T20)&lt;0.5, "Pending", IF(T20&lt;0.5, "Complete", "In Progress"))</f>
        <v>In Progress</v>
      </c>
      <c r="V20" s="22">
        <v>3</v>
      </c>
      <c r="W20" s="22">
        <f t="shared" ref="W20:W24" si="100">MAX(T20-V20,0)</f>
        <v>15</v>
      </c>
      <c r="X20" s="23" t="str">
        <f>IF(SUMPRODUCT($J$69:W$69,$J20:W20)&lt;0.5, "Pending", IF(W20&lt;0.5, "Complete", "In Progress"))</f>
        <v>In Progress</v>
      </c>
      <c r="Y20" s="22">
        <v>3</v>
      </c>
      <c r="Z20" s="22">
        <f t="shared" ref="Z20:Z24" si="101">MAX(W20-Y20,0)</f>
        <v>12</v>
      </c>
      <c r="AA20" s="23" t="str">
        <f>IF(SUMPRODUCT($J$69:Z$69,$J20:Z20)&lt;0.5, "Pending", IF(Z20&lt;0.5, "Complete", "In Progress"))</f>
        <v>In Progress</v>
      </c>
      <c r="AB20" s="22">
        <v>3</v>
      </c>
      <c r="AC20" s="22">
        <f t="shared" ref="AC20:AC24" si="102">MAX(Z20-AB20,0)</f>
        <v>9</v>
      </c>
      <c r="AD20" s="23" t="str">
        <f>IF(SUMPRODUCT($J$69:AC$69,$J20:AC20)&lt;0.5, "Pending", IF(AC20&lt;0.5, "Complete", "In Progress"))</f>
        <v>In Progress</v>
      </c>
      <c r="AE20" s="22">
        <v>3</v>
      </c>
      <c r="AF20" s="22">
        <f t="shared" ref="AF20:AF24" si="103">MAX(AC20-AE20,0)</f>
        <v>6</v>
      </c>
      <c r="AG20" s="23" t="str">
        <f>IF(SUMPRODUCT($J$69:AF$69,$J20:AF20)&lt;0.5, "Pending", IF(AF20&lt;0.5, "Complete", "In Progress"))</f>
        <v>In Progress</v>
      </c>
      <c r="AH20" s="22">
        <v>3</v>
      </c>
      <c r="AI20" s="22">
        <f t="shared" ref="AI20:AI24" si="104">MAX(AF20-AH20,0)</f>
        <v>3</v>
      </c>
      <c r="AJ20" s="23" t="str">
        <f>IF(SUMPRODUCT($J$69:AI$69,$J20:AI20)&lt;0.5, "Pending", IF(AI20&lt;0.5, "Complete", "In Progress"))</f>
        <v>In Progress</v>
      </c>
      <c r="AK20" s="22">
        <v>3</v>
      </c>
      <c r="AL20" s="22">
        <f t="shared" ref="AL20:AL24" si="105">MAX(AI20-AK20,0)</f>
        <v>0</v>
      </c>
      <c r="AM20" s="23" t="str">
        <f>IF(SUMPRODUCT($J$69:AL$69,$J20:AL20)&lt;0.5, "Pending", IF(AL20&lt;0.5, "Complete", "In Progress"))</f>
        <v>Complete</v>
      </c>
      <c r="AN20" s="22">
        <v>0</v>
      </c>
      <c r="AO20" s="22">
        <f t="shared" ref="AO20:AO24" si="106">MAX(AL20-AN20,0)</f>
        <v>0</v>
      </c>
      <c r="AP20" s="23" t="str">
        <f>IF(SUMPRODUCT($J$69:AO$69,$J20:AO20)&lt;0.5, "Pending", IF(AO20&lt;0.5, "Complete", "In Progress"))</f>
        <v>Complete</v>
      </c>
      <c r="AQ20" s="22">
        <v>0</v>
      </c>
      <c r="AR20" s="22">
        <f t="shared" ref="AR20:AR24" si="107">MAX(AO20-AQ20,0)</f>
        <v>0</v>
      </c>
      <c r="AS20" s="23" t="str">
        <f>IF(SUMPRODUCT($J$69:AR$69,$J20:AR20)&lt;0.5, "Pending", IF(AR20&lt;0.5, "Complete", "In Progress"))</f>
        <v>Complete</v>
      </c>
      <c r="AT20" s="22">
        <v>0</v>
      </c>
      <c r="AU20" s="22">
        <f t="shared" ref="AU20:AU24" si="108">MAX(AR20-AT20,0)</f>
        <v>0</v>
      </c>
      <c r="AV20" s="23" t="str">
        <f>IF(SUMPRODUCT($J$69:AU$69,$J20:AU20)&lt;0.5, "Pending", IF(AU20&lt;0.5, "Complete", "In Progress"))</f>
        <v>Complete</v>
      </c>
      <c r="AW20" s="22">
        <v>0</v>
      </c>
      <c r="AX20" s="22">
        <f t="shared" ref="AX20:AX24" si="109">MAX(AU20-AW20,0)</f>
        <v>0</v>
      </c>
      <c r="AY20" s="23" t="str">
        <f>IF(SUMPRODUCT($J$69:AX$69,$J20:AX20)&lt;0.5, "Pending", IF(AX20&lt;0.5, "Complete", "In Progress"))</f>
        <v>Complete</v>
      </c>
      <c r="AZ20" s="22">
        <v>0</v>
      </c>
      <c r="BA20" s="22">
        <f t="shared" ref="BA20:BA24" si="110">MAX(AX20-AZ20,0)</f>
        <v>0</v>
      </c>
      <c r="BB20" s="23" t="str">
        <f>IF(SUMPRODUCT($J$69:BA$69,$J20:BA20)&lt;0.5, "Pending", IF(BA20&lt;0.5, "Complete", "In Progress"))</f>
        <v>Complete</v>
      </c>
      <c r="BC20" s="22">
        <v>0</v>
      </c>
      <c r="BD20" s="22">
        <f t="shared" ref="BD20:BD24" si="111">MAX(BA20-BC20,0)</f>
        <v>0</v>
      </c>
      <c r="BE20" s="23" t="str">
        <f>IF(SUMPRODUCT($J$69:BD$69,$J20:BD20)&lt;0.5, "Pending", IF(BD20&lt;0.5, "Complete", "In Progress"))</f>
        <v>Complete</v>
      </c>
      <c r="BF20" s="22">
        <v>0</v>
      </c>
      <c r="BG20" s="22">
        <f t="shared" ref="BG20:BG24" si="112">MAX(BD20-BF20,0)</f>
        <v>0</v>
      </c>
      <c r="BH20" s="23" t="str">
        <f>IF(SUMPRODUCT($J$69:BG$69,$J20:BG20)&lt;0.5, "Pending", IF(BG20&lt;0.5, "Complete", "In Progress"))</f>
        <v>Complete</v>
      </c>
      <c r="BI20" s="22">
        <v>0</v>
      </c>
      <c r="BJ20" s="22">
        <f t="shared" ref="BJ20:BJ24" si="113">MAX(BG20-BI20,0)</f>
        <v>0</v>
      </c>
      <c r="BK20" s="23" t="str">
        <f>IF(SUMPRODUCT($J$69:BJ$69,$J20:BJ20)&lt;0.5, "Pending", IF(BJ20&lt;0.5, "Complete", "In Progress"))</f>
        <v>Complete</v>
      </c>
      <c r="BL20" s="22">
        <v>0</v>
      </c>
      <c r="BM20" s="22">
        <f t="shared" ref="BM20:BM24" si="114">MAX(BJ20-BL20,0)</f>
        <v>0</v>
      </c>
      <c r="BN20" s="23" t="str">
        <f>IF(SUMPRODUCT($J$69:BM$69,$J20:BM20)&lt;0.5, "Pending", IF(BM20&lt;0.5, "Complete", "In Progress"))</f>
        <v>Complete</v>
      </c>
      <c r="BO20" s="22">
        <v>0</v>
      </c>
      <c r="BP20" s="22">
        <f t="shared" ref="BP20:BP24" si="115">MAX(BM20-BO20,0)</f>
        <v>0</v>
      </c>
      <c r="BQ20" s="23" t="str">
        <f>IF(SUMPRODUCT($J$69:BP$69,$J20:BP20)&lt;0.5, "Pending", IF(BP20&lt;0.5, "Complete", "In Progress"))</f>
        <v>Complete</v>
      </c>
      <c r="BR20" s="22">
        <v>0</v>
      </c>
      <c r="BS20" s="22">
        <f t="shared" ref="BS20:BS24" si="116">MAX(BP20-BR20,0)</f>
        <v>0</v>
      </c>
      <c r="BT20" s="23" t="str">
        <f>IF(SUMPRODUCT($J$69:BS$69,$J20:BS20)&lt;0.5, "Pending", IF(BS20&lt;0.5, "Complete", "In Progress"))</f>
        <v>Complete</v>
      </c>
      <c r="BU20" s="22">
        <v>0</v>
      </c>
      <c r="BV20" s="22">
        <f t="shared" ref="BV20:BV24" si="117">MAX(BS20-BU20,0)</f>
        <v>0</v>
      </c>
      <c r="BW20" s="23" t="str">
        <f>IF(SUMPRODUCT($J$69:BV$69,$J20:BV20)&lt;0.5, "Pending", IF(BV20&lt;0.5, "Complete", "In Progress"))</f>
        <v>Complete</v>
      </c>
      <c r="BX20" s="22">
        <v>0</v>
      </c>
      <c r="BY20" s="22">
        <f t="shared" ref="BY20:BY24" si="118">MAX(BV20-BX20,0)</f>
        <v>0</v>
      </c>
      <c r="BZ20" s="23" t="str">
        <f>IF(SUMPRODUCT($J$69:BY$69,$J20:BY20)&lt;0.5, "Pending", IF(BY20&lt;0.5, "Complete", "In Progress"))</f>
        <v>Complete</v>
      </c>
      <c r="CA20" s="22">
        <v>0</v>
      </c>
      <c r="CB20" s="22">
        <f t="shared" ref="CB20:CB24" si="119">MAX(BY20-CA20,0)</f>
        <v>0</v>
      </c>
      <c r="CC20" s="23" t="str">
        <f>IF(SUMPRODUCT($J$69:CB$69,$J20:CB20)&lt;0.5, "Pending", IF(CB20&lt;0.5, "Complete", "In Progress"))</f>
        <v>Complete</v>
      </c>
      <c r="CD20" s="24"/>
      <c r="CE20" s="25">
        <f>SUMPRODUCT($H$69:AY$69,$H20:AY20)</f>
        <v>30</v>
      </c>
    </row>
    <row r="21" spans="1:83" x14ac:dyDescent="0.2">
      <c r="A21" s="16" t="s">
        <v>105</v>
      </c>
      <c r="B21" s="16" t="s">
        <v>137</v>
      </c>
      <c r="C21" s="16"/>
      <c r="D21" s="17"/>
      <c r="E21" s="177" t="s">
        <v>151</v>
      </c>
      <c r="F21" s="18" t="s">
        <v>129</v>
      </c>
      <c r="G21" s="19" t="e">
        <f t="shared" ca="1" si="23"/>
        <v>#REF!</v>
      </c>
      <c r="H21" s="20">
        <v>1</v>
      </c>
      <c r="I21" s="21">
        <v>4</v>
      </c>
      <c r="J21" s="22">
        <v>0</v>
      </c>
      <c r="K21" s="22">
        <f t="shared" si="96"/>
        <v>4</v>
      </c>
      <c r="L21" s="23" t="str">
        <f>IF(SUMPRODUCT($J$69:K$69,$J21:K21)&lt;0.5, "Pending", IF(K21&lt;0.5, "Complete", "In Progress"))</f>
        <v>Pending</v>
      </c>
      <c r="M21" s="22">
        <v>0</v>
      </c>
      <c r="N21" s="22">
        <f t="shared" si="97"/>
        <v>4</v>
      </c>
      <c r="O21" s="23" t="str">
        <f>IF(SUMPRODUCT($J$69:N$69,$J21:N21)&lt;0.5, "Pending", IF(N21&lt;0.5, "Complete", "In Progress"))</f>
        <v>Pending</v>
      </c>
      <c r="P21" s="22">
        <v>0</v>
      </c>
      <c r="Q21" s="22">
        <f t="shared" si="98"/>
        <v>4</v>
      </c>
      <c r="R21" s="23" t="str">
        <f>IF(SUMPRODUCT($J$69:Q$69,$J21:Q21)&lt;0.5, "Pending", IF(Q21&lt;0.5, "Complete", "In Progress"))</f>
        <v>Pending</v>
      </c>
      <c r="S21" s="22">
        <v>0</v>
      </c>
      <c r="T21" s="22">
        <f t="shared" si="99"/>
        <v>4</v>
      </c>
      <c r="U21" s="23" t="str">
        <f>IF(SUMPRODUCT($J$69:T$69,$J21:T21)&lt;0.5, "Pending", IF(T21&lt;0.5, "Complete", "In Progress"))</f>
        <v>Pending</v>
      </c>
      <c r="V21" s="22">
        <v>2</v>
      </c>
      <c r="W21" s="22">
        <f t="shared" si="100"/>
        <v>2</v>
      </c>
      <c r="X21" s="23" t="str">
        <f>IF(SUMPRODUCT($J$69:W$69,$J21:W21)&lt;0.5, "Pending", IF(W21&lt;0.5, "Complete", "In Progress"))</f>
        <v>In Progress</v>
      </c>
      <c r="Y21" s="22">
        <v>2</v>
      </c>
      <c r="Z21" s="22">
        <f t="shared" si="101"/>
        <v>0</v>
      </c>
      <c r="AA21" s="23" t="s">
        <v>163</v>
      </c>
      <c r="AB21" s="22">
        <v>0</v>
      </c>
      <c r="AC21" s="22">
        <f t="shared" si="102"/>
        <v>0</v>
      </c>
      <c r="AD21" s="23" t="str">
        <f>IF(SUMPRODUCT($J$69:AC$69,$J21:AC21)&lt;0.5, "Pending", IF(AC21&lt;0.5, "Complete", "In Progress"))</f>
        <v>Complete</v>
      </c>
      <c r="AE21" s="22">
        <v>0</v>
      </c>
      <c r="AF21" s="22">
        <f t="shared" si="103"/>
        <v>0</v>
      </c>
      <c r="AG21" s="23" t="str">
        <f>IF(SUMPRODUCT($J$69:AF$69,$J21:AF21)&lt;0.5, "Pending", IF(AF21&lt;0.5, "Complete", "In Progress"))</f>
        <v>Complete</v>
      </c>
      <c r="AH21" s="22">
        <v>0</v>
      </c>
      <c r="AI21" s="22">
        <f t="shared" si="104"/>
        <v>0</v>
      </c>
      <c r="AJ21" s="23" t="str">
        <f>IF(SUMPRODUCT($J$69:AI$69,$J21:AI21)&lt;0.5, "Pending", IF(AI21&lt;0.5, "Complete", "In Progress"))</f>
        <v>Complete</v>
      </c>
      <c r="AK21" s="22">
        <v>0</v>
      </c>
      <c r="AL21" s="22">
        <f t="shared" si="105"/>
        <v>0</v>
      </c>
      <c r="AM21" s="23" t="str">
        <f>IF(SUMPRODUCT($J$69:AL$69,$J21:AL21)&lt;0.5, "Pending", IF(AL21&lt;0.5, "Complete", "In Progress"))</f>
        <v>Complete</v>
      </c>
      <c r="AN21" s="22">
        <v>0</v>
      </c>
      <c r="AO21" s="22">
        <f t="shared" si="106"/>
        <v>0</v>
      </c>
      <c r="AP21" s="23" t="str">
        <f>IF(SUMPRODUCT($J$69:AO$69,$J21:AO21)&lt;0.5, "Pending", IF(AO21&lt;0.5, "Complete", "In Progress"))</f>
        <v>Complete</v>
      </c>
      <c r="AQ21" s="22">
        <v>0</v>
      </c>
      <c r="AR21" s="22">
        <f t="shared" si="107"/>
        <v>0</v>
      </c>
      <c r="AS21" s="23" t="str">
        <f>IF(SUMPRODUCT($J$69:AR$69,$J21:AR21)&lt;0.5, "Pending", IF(AR21&lt;0.5, "Complete", "In Progress"))</f>
        <v>Complete</v>
      </c>
      <c r="AT21" s="22">
        <v>0</v>
      </c>
      <c r="AU21" s="22">
        <f t="shared" si="108"/>
        <v>0</v>
      </c>
      <c r="AV21" s="23" t="str">
        <f>IF(SUMPRODUCT($J$69:AU$69,$J21:AU21)&lt;0.5, "Pending", IF(AU21&lt;0.5, "Complete", "In Progress"))</f>
        <v>Complete</v>
      </c>
      <c r="AW21" s="22">
        <v>0</v>
      </c>
      <c r="AX21" s="22">
        <f t="shared" si="109"/>
        <v>0</v>
      </c>
      <c r="AY21" s="23" t="str">
        <f>IF(SUMPRODUCT($J$69:AX$69,$J21:AX21)&lt;0.5, "Pending", IF(AX21&lt;0.5, "Complete", "In Progress"))</f>
        <v>Complete</v>
      </c>
      <c r="AZ21" s="22">
        <v>0</v>
      </c>
      <c r="BA21" s="22">
        <f t="shared" si="110"/>
        <v>0</v>
      </c>
      <c r="BB21" s="23" t="str">
        <f>IF(SUMPRODUCT($J$69:BA$69,$J21:BA21)&lt;0.5, "Pending", IF(BA21&lt;0.5, "Complete", "In Progress"))</f>
        <v>Complete</v>
      </c>
      <c r="BC21" s="22">
        <v>0</v>
      </c>
      <c r="BD21" s="22">
        <f t="shared" si="111"/>
        <v>0</v>
      </c>
      <c r="BE21" s="23" t="str">
        <f>IF(SUMPRODUCT($J$69:BD$69,$J21:BD21)&lt;0.5, "Pending", IF(BD21&lt;0.5, "Complete", "In Progress"))</f>
        <v>Complete</v>
      </c>
      <c r="BF21" s="22">
        <v>0</v>
      </c>
      <c r="BG21" s="22">
        <f t="shared" si="112"/>
        <v>0</v>
      </c>
      <c r="BH21" s="23" t="str">
        <f>IF(SUMPRODUCT($J$69:BG$69,$J21:BG21)&lt;0.5, "Pending", IF(BG21&lt;0.5, "Complete", "In Progress"))</f>
        <v>Complete</v>
      </c>
      <c r="BI21" s="22">
        <v>0</v>
      </c>
      <c r="BJ21" s="22">
        <f t="shared" si="113"/>
        <v>0</v>
      </c>
      <c r="BK21" s="23" t="str">
        <f>IF(SUMPRODUCT($J$69:BJ$69,$J21:BJ21)&lt;0.5, "Pending", IF(BJ21&lt;0.5, "Complete", "In Progress"))</f>
        <v>Complete</v>
      </c>
      <c r="BL21" s="22">
        <v>0</v>
      </c>
      <c r="BM21" s="22">
        <f t="shared" si="114"/>
        <v>0</v>
      </c>
      <c r="BN21" s="23" t="str">
        <f>IF(SUMPRODUCT($J$69:BM$69,$J21:BM21)&lt;0.5, "Pending", IF(BM21&lt;0.5, "Complete", "In Progress"))</f>
        <v>Complete</v>
      </c>
      <c r="BO21" s="22">
        <v>0</v>
      </c>
      <c r="BP21" s="22">
        <f t="shared" si="115"/>
        <v>0</v>
      </c>
      <c r="BQ21" s="23" t="str">
        <f>IF(SUMPRODUCT($J$69:BP$69,$J21:BP21)&lt;0.5, "Pending", IF(BP21&lt;0.5, "Complete", "In Progress"))</f>
        <v>Complete</v>
      </c>
      <c r="BR21" s="22">
        <v>0</v>
      </c>
      <c r="BS21" s="22">
        <f t="shared" si="116"/>
        <v>0</v>
      </c>
      <c r="BT21" s="23" t="str">
        <f>IF(SUMPRODUCT($J$69:BS$69,$J21:BS21)&lt;0.5, "Pending", IF(BS21&lt;0.5, "Complete", "In Progress"))</f>
        <v>Complete</v>
      </c>
      <c r="BU21" s="22">
        <v>0</v>
      </c>
      <c r="BV21" s="22">
        <f t="shared" si="117"/>
        <v>0</v>
      </c>
      <c r="BW21" s="23" t="str">
        <f>IF(SUMPRODUCT($J$69:BV$69,$J21:BV21)&lt;0.5, "Pending", IF(BV21&lt;0.5, "Complete", "In Progress"))</f>
        <v>Complete</v>
      </c>
      <c r="BX21" s="22">
        <v>0</v>
      </c>
      <c r="BY21" s="22">
        <f t="shared" si="118"/>
        <v>0</v>
      </c>
      <c r="BZ21" s="23" t="str">
        <f>IF(SUMPRODUCT($J$69:BY$69,$J21:BY21)&lt;0.5, "Pending", IF(BY21&lt;0.5, "Complete", "In Progress"))</f>
        <v>Complete</v>
      </c>
      <c r="CA21" s="22">
        <v>0</v>
      </c>
      <c r="CB21" s="22">
        <f t="shared" si="119"/>
        <v>0</v>
      </c>
      <c r="CC21" s="23" t="str">
        <f>IF(SUMPRODUCT($J$69:CB$69,$J21:CB21)&lt;0.5, "Pending", IF(CB21&lt;0.5, "Complete", "In Progress"))</f>
        <v>Complete</v>
      </c>
      <c r="CD21" s="24"/>
      <c r="CE21" s="25">
        <f>SUMPRODUCT($H$69:AY$69,$H21:AY21)</f>
        <v>4</v>
      </c>
    </row>
    <row r="22" spans="1:83" x14ac:dyDescent="0.2">
      <c r="A22" s="16" t="s">
        <v>105</v>
      </c>
      <c r="B22" s="16" t="s">
        <v>136</v>
      </c>
      <c r="C22" s="16"/>
      <c r="D22" s="17"/>
      <c r="E22" s="177" t="s">
        <v>156</v>
      </c>
      <c r="F22" s="18" t="s">
        <v>130</v>
      </c>
      <c r="G22" s="19" t="e">
        <f t="shared" ca="1" si="23"/>
        <v>#REF!</v>
      </c>
      <c r="H22" s="20">
        <v>1</v>
      </c>
      <c r="I22" s="21">
        <v>2</v>
      </c>
      <c r="J22" s="22">
        <v>0</v>
      </c>
      <c r="K22" s="22">
        <f t="shared" si="96"/>
        <v>2</v>
      </c>
      <c r="L22" s="23" t="str">
        <f>IF(SUMPRODUCT($J$69:K$69,$J22:K22)&lt;0.5, "Pending", IF(K22&lt;0.5, "Complete", "In Progress"))</f>
        <v>Pending</v>
      </c>
      <c r="M22" s="22">
        <v>0</v>
      </c>
      <c r="N22" s="22">
        <f t="shared" si="97"/>
        <v>2</v>
      </c>
      <c r="O22" s="23" t="str">
        <f>IF(SUMPRODUCT($J$69:N$69,$J22:N22)&lt;0.5, "Pending", IF(N22&lt;0.5, "Complete", "In Progress"))</f>
        <v>Pending</v>
      </c>
      <c r="P22" s="22">
        <v>0</v>
      </c>
      <c r="Q22" s="22">
        <f t="shared" si="98"/>
        <v>2</v>
      </c>
      <c r="R22" s="23" t="str">
        <f>IF(SUMPRODUCT($J$69:Q$69,$J22:Q22)&lt;0.5, "Pending", IF(Q22&lt;0.5, "Complete", "In Progress"))</f>
        <v>Pending</v>
      </c>
      <c r="S22" s="22">
        <v>0</v>
      </c>
      <c r="T22" s="22">
        <f t="shared" si="99"/>
        <v>2</v>
      </c>
      <c r="U22" s="23" t="str">
        <f>IF(SUMPRODUCT($J$69:T$69,$J22:T22)&lt;0.5, "Pending", IF(T22&lt;0.5, "Complete", "In Progress"))</f>
        <v>Pending</v>
      </c>
      <c r="V22" s="22">
        <v>0</v>
      </c>
      <c r="W22" s="22">
        <f t="shared" si="100"/>
        <v>2</v>
      </c>
      <c r="X22" s="23" t="str">
        <f>IF(SUMPRODUCT($J$69:W$69,$J22:W22)&lt;0.5, "Pending", IF(W22&lt;0.5, "Complete", "In Progress"))</f>
        <v>Pending</v>
      </c>
      <c r="Y22" s="22">
        <v>0</v>
      </c>
      <c r="Z22" s="22">
        <f t="shared" si="101"/>
        <v>2</v>
      </c>
      <c r="AA22" s="23" t="str">
        <f>IF(SUMPRODUCT($J$69:Z$69,$J22:Z22)&lt;0.5, "Pending", IF(Z22&lt;0.5, "Complete", "In Progress"))</f>
        <v>Pending</v>
      </c>
      <c r="AB22" s="22">
        <v>0</v>
      </c>
      <c r="AC22" s="22">
        <f t="shared" si="102"/>
        <v>2</v>
      </c>
      <c r="AD22" s="23" t="str">
        <f>IF(SUMPRODUCT($J$69:AC$69,$J22:AC22)&lt;0.5, "Pending", IF(AC22&lt;0.5, "Complete", "In Progress"))</f>
        <v>Pending</v>
      </c>
      <c r="AE22" s="22">
        <v>0</v>
      </c>
      <c r="AF22" s="22">
        <f t="shared" si="103"/>
        <v>2</v>
      </c>
      <c r="AG22" s="23" t="str">
        <f>IF(SUMPRODUCT($J$69:AF$69,$J22:AF22)&lt;0.5, "Pending", IF(AF22&lt;0.5, "Complete", "In Progress"))</f>
        <v>Pending</v>
      </c>
      <c r="AH22" s="22">
        <v>0</v>
      </c>
      <c r="AI22" s="22">
        <f t="shared" si="104"/>
        <v>2</v>
      </c>
      <c r="AJ22" s="23" t="str">
        <f>IF(SUMPRODUCT($J$69:AI$69,$J22:AI22)&lt;0.5, "Pending", IF(AI22&lt;0.5, "Complete", "In Progress"))</f>
        <v>Pending</v>
      </c>
      <c r="AK22" s="22">
        <v>0</v>
      </c>
      <c r="AL22" s="22">
        <f t="shared" si="105"/>
        <v>2</v>
      </c>
      <c r="AM22" s="23" t="str">
        <f>IF(SUMPRODUCT($J$69:AL$69,$J22:AL22)&lt;0.5, "Pending", IF(AL22&lt;0.5, "Complete", "In Progress"))</f>
        <v>Pending</v>
      </c>
      <c r="AN22" s="22">
        <v>2</v>
      </c>
      <c r="AO22" s="22">
        <f t="shared" si="106"/>
        <v>0</v>
      </c>
      <c r="AP22" s="23" t="str">
        <f>IF(SUMPRODUCT($J$69:AO$69,$J22:AO22)&lt;0.5, "Pending", IF(AO22&lt;0.5, "Complete", "In Progress"))</f>
        <v>Complete</v>
      </c>
      <c r="AQ22" s="22">
        <v>0</v>
      </c>
      <c r="AR22" s="22">
        <f t="shared" si="107"/>
        <v>0</v>
      </c>
      <c r="AS22" s="23" t="str">
        <f>IF(SUMPRODUCT($J$69:AR$69,$J22:AR22)&lt;0.5, "Pending", IF(AR22&lt;0.5, "Complete", "In Progress"))</f>
        <v>Complete</v>
      </c>
      <c r="AT22" s="22">
        <v>0</v>
      </c>
      <c r="AU22" s="22">
        <f t="shared" si="108"/>
        <v>0</v>
      </c>
      <c r="AV22" s="23" t="str">
        <f>IF(SUMPRODUCT($J$69:AU$69,$J22:AU22)&lt;0.5, "Pending", IF(AU22&lt;0.5, "Complete", "In Progress"))</f>
        <v>Complete</v>
      </c>
      <c r="AW22" s="22">
        <v>0</v>
      </c>
      <c r="AX22" s="22">
        <f t="shared" si="109"/>
        <v>0</v>
      </c>
      <c r="AY22" s="23" t="str">
        <f>IF(SUMPRODUCT($J$69:AX$69,$J22:AX22)&lt;0.5, "Pending", IF(AX22&lt;0.5, "Complete", "In Progress"))</f>
        <v>Complete</v>
      </c>
      <c r="AZ22" s="22">
        <v>0</v>
      </c>
      <c r="BA22" s="22">
        <f t="shared" si="110"/>
        <v>0</v>
      </c>
      <c r="BB22" s="23" t="str">
        <f>IF(SUMPRODUCT($J$69:BA$69,$J22:BA22)&lt;0.5, "Pending", IF(BA22&lt;0.5, "Complete", "In Progress"))</f>
        <v>Complete</v>
      </c>
      <c r="BC22" s="22">
        <v>0</v>
      </c>
      <c r="BD22" s="22">
        <f t="shared" si="111"/>
        <v>0</v>
      </c>
      <c r="BE22" s="23" t="str">
        <f>IF(SUMPRODUCT($J$69:BD$69,$J22:BD22)&lt;0.5, "Pending", IF(BD22&lt;0.5, "Complete", "In Progress"))</f>
        <v>Complete</v>
      </c>
      <c r="BF22" s="22">
        <v>0</v>
      </c>
      <c r="BG22" s="22">
        <f t="shared" si="112"/>
        <v>0</v>
      </c>
      <c r="BH22" s="23" t="str">
        <f>IF(SUMPRODUCT($J$69:BG$69,$J22:BG22)&lt;0.5, "Pending", IF(BG22&lt;0.5, "Complete", "In Progress"))</f>
        <v>Complete</v>
      </c>
      <c r="BI22" s="22">
        <v>0</v>
      </c>
      <c r="BJ22" s="22">
        <f t="shared" si="113"/>
        <v>0</v>
      </c>
      <c r="BK22" s="23" t="str">
        <f>IF(SUMPRODUCT($J$69:BJ$69,$J22:BJ22)&lt;0.5, "Pending", IF(BJ22&lt;0.5, "Complete", "In Progress"))</f>
        <v>Complete</v>
      </c>
      <c r="BL22" s="22">
        <v>0</v>
      </c>
      <c r="BM22" s="22">
        <f t="shared" si="114"/>
        <v>0</v>
      </c>
      <c r="BN22" s="23" t="str">
        <f>IF(SUMPRODUCT($J$69:BM$69,$J22:BM22)&lt;0.5, "Pending", IF(BM22&lt;0.5, "Complete", "In Progress"))</f>
        <v>Complete</v>
      </c>
      <c r="BO22" s="22">
        <v>0</v>
      </c>
      <c r="BP22" s="22">
        <f t="shared" si="115"/>
        <v>0</v>
      </c>
      <c r="BQ22" s="23" t="str">
        <f>IF(SUMPRODUCT($J$69:BP$69,$J22:BP22)&lt;0.5, "Pending", IF(BP22&lt;0.5, "Complete", "In Progress"))</f>
        <v>Complete</v>
      </c>
      <c r="BR22" s="22">
        <v>0</v>
      </c>
      <c r="BS22" s="22">
        <f t="shared" si="116"/>
        <v>0</v>
      </c>
      <c r="BT22" s="23" t="str">
        <f>IF(SUMPRODUCT($J$69:BS$69,$J22:BS22)&lt;0.5, "Pending", IF(BS22&lt;0.5, "Complete", "In Progress"))</f>
        <v>Complete</v>
      </c>
      <c r="BU22" s="22">
        <v>0</v>
      </c>
      <c r="BV22" s="22">
        <f t="shared" si="117"/>
        <v>0</v>
      </c>
      <c r="BW22" s="23" t="str">
        <f>IF(SUMPRODUCT($J$69:BV$69,$J22:BV22)&lt;0.5, "Pending", IF(BV22&lt;0.5, "Complete", "In Progress"))</f>
        <v>Complete</v>
      </c>
      <c r="BX22" s="22">
        <v>0</v>
      </c>
      <c r="BY22" s="22">
        <f t="shared" si="118"/>
        <v>0</v>
      </c>
      <c r="BZ22" s="23" t="str">
        <f>IF(SUMPRODUCT($J$69:BY$69,$J22:BY22)&lt;0.5, "Pending", IF(BY22&lt;0.5, "Complete", "In Progress"))</f>
        <v>Complete</v>
      </c>
      <c r="CA22" s="22">
        <v>0</v>
      </c>
      <c r="CB22" s="22">
        <f t="shared" si="119"/>
        <v>0</v>
      </c>
      <c r="CC22" s="23" t="str">
        <f>IF(SUMPRODUCT($J$69:CB$69,$J22:CB22)&lt;0.5, "Pending", IF(CB22&lt;0.5, "Complete", "In Progress"))</f>
        <v>Complete</v>
      </c>
      <c r="CD22" s="24"/>
      <c r="CE22" s="25">
        <f>SUMPRODUCT($H$69:AY$69,$H22:AY22)</f>
        <v>2</v>
      </c>
    </row>
    <row r="23" spans="1:83" x14ac:dyDescent="0.2">
      <c r="A23" s="16" t="s">
        <v>105</v>
      </c>
      <c r="B23" s="16" t="s">
        <v>136</v>
      </c>
      <c r="C23" s="16"/>
      <c r="D23" s="17"/>
      <c r="E23" s="177" t="s">
        <v>152</v>
      </c>
      <c r="F23" s="18" t="s">
        <v>129</v>
      </c>
      <c r="G23" s="19" t="e">
        <f t="shared" ca="1" si="23"/>
        <v>#REF!</v>
      </c>
      <c r="H23" s="20">
        <v>1</v>
      </c>
      <c r="I23" s="21">
        <v>2</v>
      </c>
      <c r="J23" s="22">
        <v>0</v>
      </c>
      <c r="K23" s="22">
        <f t="shared" si="96"/>
        <v>2</v>
      </c>
      <c r="L23" s="23" t="str">
        <f>IF(SUMPRODUCT($J$69:K$69,$J23:K23)&lt;0.5, "Pending", IF(K23&lt;0.5, "Complete", "In Progress"))</f>
        <v>Pending</v>
      </c>
      <c r="M23" s="22">
        <v>0</v>
      </c>
      <c r="N23" s="22">
        <f t="shared" si="97"/>
        <v>2</v>
      </c>
      <c r="O23" s="23" t="str">
        <f>IF(SUMPRODUCT($J$69:N$69,$J23:N23)&lt;0.5, "Pending", IF(N23&lt;0.5, "Complete", "In Progress"))</f>
        <v>Pending</v>
      </c>
      <c r="P23" s="22">
        <v>0</v>
      </c>
      <c r="Q23" s="22">
        <f t="shared" si="98"/>
        <v>2</v>
      </c>
      <c r="R23" s="23" t="str">
        <f>IF(SUMPRODUCT($J$69:Q$69,$J23:Q23)&lt;0.5, "Pending", IF(Q23&lt;0.5, "Complete", "In Progress"))</f>
        <v>Pending</v>
      </c>
      <c r="S23" s="22">
        <v>0</v>
      </c>
      <c r="T23" s="22">
        <f t="shared" si="99"/>
        <v>2</v>
      </c>
      <c r="U23" s="23" t="str">
        <f>IF(SUMPRODUCT($J$69:T$69,$J23:T23)&lt;0.5, "Pending", IF(T23&lt;0.5, "Complete", "In Progress"))</f>
        <v>Pending</v>
      </c>
      <c r="V23" s="22">
        <v>2</v>
      </c>
      <c r="W23" s="22">
        <f t="shared" si="100"/>
        <v>0</v>
      </c>
      <c r="X23" s="23" t="str">
        <f>IF(SUMPRODUCT($J$69:W$69,$J23:W23)&lt;0.5, "Pending", IF(W23&lt;0.5, "Complete", "In Progress"))</f>
        <v>Complete</v>
      </c>
      <c r="Y23" s="22">
        <v>0</v>
      </c>
      <c r="Z23" s="22">
        <f t="shared" si="101"/>
        <v>0</v>
      </c>
      <c r="AA23" s="23" t="str">
        <f>IF(SUMPRODUCT($J$69:Z$69,$J23:Z23)&lt;0.5, "Pending", IF(Z23&lt;0.5, "Complete", "In Progress"))</f>
        <v>Complete</v>
      </c>
      <c r="AB23" s="22">
        <v>0</v>
      </c>
      <c r="AC23" s="22">
        <f t="shared" si="102"/>
        <v>0</v>
      </c>
      <c r="AD23" s="23" t="str">
        <f>IF(SUMPRODUCT($J$69:AC$69,$J23:AC23)&lt;0.5, "Pending", IF(AC23&lt;0.5, "Complete", "In Progress"))</f>
        <v>Complete</v>
      </c>
      <c r="AE23" s="22">
        <v>0</v>
      </c>
      <c r="AF23" s="22">
        <f t="shared" si="103"/>
        <v>0</v>
      </c>
      <c r="AG23" s="23" t="str">
        <f>IF(SUMPRODUCT($J$69:AF$69,$J23:AF23)&lt;0.5, "Pending", IF(AF23&lt;0.5, "Complete", "In Progress"))</f>
        <v>Complete</v>
      </c>
      <c r="AH23" s="22">
        <v>0</v>
      </c>
      <c r="AI23" s="22">
        <f t="shared" si="104"/>
        <v>0</v>
      </c>
      <c r="AJ23" s="23" t="str">
        <f>IF(SUMPRODUCT($J$69:AI$69,$J23:AI23)&lt;0.5, "Pending", IF(AI23&lt;0.5, "Complete", "In Progress"))</f>
        <v>Complete</v>
      </c>
      <c r="AK23" s="22">
        <v>0</v>
      </c>
      <c r="AL23" s="22">
        <f t="shared" si="105"/>
        <v>0</v>
      </c>
      <c r="AM23" s="23" t="str">
        <f>IF(SUMPRODUCT($J$69:AL$69,$J23:AL23)&lt;0.5, "Pending", IF(AL23&lt;0.5, "Complete", "In Progress"))</f>
        <v>Complete</v>
      </c>
      <c r="AN23" s="22">
        <v>0</v>
      </c>
      <c r="AO23" s="22">
        <f t="shared" si="106"/>
        <v>0</v>
      </c>
      <c r="AP23" s="23" t="str">
        <f>IF(SUMPRODUCT($J$69:AO$69,$J23:AO23)&lt;0.5, "Pending", IF(AO23&lt;0.5, "Complete", "In Progress"))</f>
        <v>Complete</v>
      </c>
      <c r="AQ23" s="22">
        <v>0</v>
      </c>
      <c r="AR23" s="22">
        <f t="shared" si="107"/>
        <v>0</v>
      </c>
      <c r="AS23" s="23" t="str">
        <f>IF(SUMPRODUCT($J$69:AR$69,$J23:AR23)&lt;0.5, "Pending", IF(AR23&lt;0.5, "Complete", "In Progress"))</f>
        <v>Complete</v>
      </c>
      <c r="AT23" s="22">
        <v>0</v>
      </c>
      <c r="AU23" s="22">
        <f t="shared" si="108"/>
        <v>0</v>
      </c>
      <c r="AV23" s="23" t="str">
        <f>IF(SUMPRODUCT($J$69:AU$69,$J23:AU23)&lt;0.5, "Pending", IF(AU23&lt;0.5, "Complete", "In Progress"))</f>
        <v>Complete</v>
      </c>
      <c r="AW23" s="22">
        <v>0</v>
      </c>
      <c r="AX23" s="22">
        <f t="shared" si="109"/>
        <v>0</v>
      </c>
      <c r="AY23" s="23" t="str">
        <f>IF(SUMPRODUCT($J$69:AX$69,$J23:AX23)&lt;0.5, "Pending", IF(AX23&lt;0.5, "Complete", "In Progress"))</f>
        <v>Complete</v>
      </c>
      <c r="AZ23" s="22">
        <v>0</v>
      </c>
      <c r="BA23" s="22">
        <f t="shared" si="110"/>
        <v>0</v>
      </c>
      <c r="BB23" s="23" t="str">
        <f>IF(SUMPRODUCT($J$69:BA$69,$J23:BA23)&lt;0.5, "Pending", IF(BA23&lt;0.5, "Complete", "In Progress"))</f>
        <v>Complete</v>
      </c>
      <c r="BC23" s="22">
        <v>0</v>
      </c>
      <c r="BD23" s="22">
        <f t="shared" si="111"/>
        <v>0</v>
      </c>
      <c r="BE23" s="23" t="str">
        <f>IF(SUMPRODUCT($J$69:BD$69,$J23:BD23)&lt;0.5, "Pending", IF(BD23&lt;0.5, "Complete", "In Progress"))</f>
        <v>Complete</v>
      </c>
      <c r="BF23" s="22">
        <v>0</v>
      </c>
      <c r="BG23" s="22">
        <f t="shared" si="112"/>
        <v>0</v>
      </c>
      <c r="BH23" s="23" t="str">
        <f>IF(SUMPRODUCT($J$69:BG$69,$J23:BG23)&lt;0.5, "Pending", IF(BG23&lt;0.5, "Complete", "In Progress"))</f>
        <v>Complete</v>
      </c>
      <c r="BI23" s="22">
        <v>0</v>
      </c>
      <c r="BJ23" s="22">
        <f t="shared" si="113"/>
        <v>0</v>
      </c>
      <c r="BK23" s="23" t="str">
        <f>IF(SUMPRODUCT($J$69:BJ$69,$J23:BJ23)&lt;0.5, "Pending", IF(BJ23&lt;0.5, "Complete", "In Progress"))</f>
        <v>Complete</v>
      </c>
      <c r="BL23" s="22">
        <v>0</v>
      </c>
      <c r="BM23" s="22">
        <f t="shared" si="114"/>
        <v>0</v>
      </c>
      <c r="BN23" s="23" t="str">
        <f>IF(SUMPRODUCT($J$69:BM$69,$J23:BM23)&lt;0.5, "Pending", IF(BM23&lt;0.5, "Complete", "In Progress"))</f>
        <v>Complete</v>
      </c>
      <c r="BO23" s="22">
        <v>0</v>
      </c>
      <c r="BP23" s="22">
        <f t="shared" si="115"/>
        <v>0</v>
      </c>
      <c r="BQ23" s="23" t="str">
        <f>IF(SUMPRODUCT($J$69:BP$69,$J23:BP23)&lt;0.5, "Pending", IF(BP23&lt;0.5, "Complete", "In Progress"))</f>
        <v>Complete</v>
      </c>
      <c r="BR23" s="22">
        <v>0</v>
      </c>
      <c r="BS23" s="22">
        <f t="shared" si="116"/>
        <v>0</v>
      </c>
      <c r="BT23" s="23" t="str">
        <f>IF(SUMPRODUCT($J$69:BS$69,$J23:BS23)&lt;0.5, "Pending", IF(BS23&lt;0.5, "Complete", "In Progress"))</f>
        <v>Complete</v>
      </c>
      <c r="BU23" s="22">
        <v>0</v>
      </c>
      <c r="BV23" s="22">
        <f t="shared" si="117"/>
        <v>0</v>
      </c>
      <c r="BW23" s="23" t="str">
        <f>IF(SUMPRODUCT($J$69:BV$69,$J23:BV23)&lt;0.5, "Pending", IF(BV23&lt;0.5, "Complete", "In Progress"))</f>
        <v>Complete</v>
      </c>
      <c r="BX23" s="22">
        <v>0</v>
      </c>
      <c r="BY23" s="22">
        <f t="shared" si="118"/>
        <v>0</v>
      </c>
      <c r="BZ23" s="23" t="str">
        <f>IF(SUMPRODUCT($J$69:BY$69,$J23:BY23)&lt;0.5, "Pending", IF(BY23&lt;0.5, "Complete", "In Progress"))</f>
        <v>Complete</v>
      </c>
      <c r="CA23" s="22">
        <v>0</v>
      </c>
      <c r="CB23" s="22">
        <f t="shared" si="119"/>
        <v>0</v>
      </c>
      <c r="CC23" s="23" t="str">
        <f>IF(SUMPRODUCT($J$69:CB$69,$J23:CB23)&lt;0.5, "Pending", IF(CB23&lt;0.5, "Complete", "In Progress"))</f>
        <v>Complete</v>
      </c>
      <c r="CD23" s="24"/>
      <c r="CE23" s="25">
        <f>SUMPRODUCT($H$69:AY$69,$H23:AY23)</f>
        <v>2</v>
      </c>
    </row>
    <row r="24" spans="1:83" x14ac:dyDescent="0.2">
      <c r="A24" s="16" t="s">
        <v>105</v>
      </c>
      <c r="B24" s="16" t="s">
        <v>136</v>
      </c>
      <c r="C24" s="16"/>
      <c r="D24" s="17"/>
      <c r="E24" s="177" t="s">
        <v>153</v>
      </c>
      <c r="F24" s="18" t="s">
        <v>129</v>
      </c>
      <c r="G24" s="19" t="e">
        <f t="shared" ca="1" si="23"/>
        <v>#REF!</v>
      </c>
      <c r="H24" s="20">
        <v>1</v>
      </c>
      <c r="I24" s="21">
        <v>2</v>
      </c>
      <c r="J24" s="22">
        <v>0</v>
      </c>
      <c r="K24" s="22">
        <f t="shared" si="96"/>
        <v>2</v>
      </c>
      <c r="L24" s="23" t="str">
        <f>IF(SUMPRODUCT($J$69:K$69,$J24:K24)&lt;0.5, "Pending", IF(K24&lt;0.5, "Complete", "In Progress"))</f>
        <v>Pending</v>
      </c>
      <c r="M24" s="22">
        <v>0</v>
      </c>
      <c r="N24" s="22">
        <f t="shared" si="97"/>
        <v>2</v>
      </c>
      <c r="O24" s="23" t="str">
        <f>IF(SUMPRODUCT($J$69:N$69,$J24:N24)&lt;0.5, "Pending", IF(N24&lt;0.5, "Complete", "In Progress"))</f>
        <v>Pending</v>
      </c>
      <c r="P24" s="22">
        <v>0</v>
      </c>
      <c r="Q24" s="22">
        <f t="shared" si="98"/>
        <v>2</v>
      </c>
      <c r="R24" s="23" t="str">
        <f>IF(SUMPRODUCT($J$69:Q$69,$J24:Q24)&lt;0.5, "Pending", IF(Q24&lt;0.5, "Complete", "In Progress"))</f>
        <v>Pending</v>
      </c>
      <c r="S24" s="22">
        <v>0</v>
      </c>
      <c r="T24" s="22">
        <f t="shared" si="99"/>
        <v>2</v>
      </c>
      <c r="U24" s="23" t="str">
        <f>IF(SUMPRODUCT($J$69:T$69,$J24:T24)&lt;0.5, "Pending", IF(T24&lt;0.5, "Complete", "In Progress"))</f>
        <v>Pending</v>
      </c>
      <c r="V24" s="22">
        <v>0</v>
      </c>
      <c r="W24" s="22">
        <f t="shared" si="100"/>
        <v>2</v>
      </c>
      <c r="X24" s="23" t="str">
        <f>IF(SUMPRODUCT($J$69:W$69,$J24:W24)&lt;0.5, "Pending", IF(W24&lt;0.5, "Complete", "In Progress"))</f>
        <v>Pending</v>
      </c>
      <c r="Y24" s="22">
        <v>0</v>
      </c>
      <c r="Z24" s="22">
        <f t="shared" si="101"/>
        <v>2</v>
      </c>
      <c r="AA24" s="23" t="str">
        <f>IF(SUMPRODUCT($J$69:Z$69,$J24:Z24)&lt;0.5, "Pending", IF(Z24&lt;0.5, "Complete", "In Progress"))</f>
        <v>Pending</v>
      </c>
      <c r="AB24" s="22">
        <v>0</v>
      </c>
      <c r="AC24" s="22">
        <f t="shared" si="102"/>
        <v>2</v>
      </c>
      <c r="AD24" s="23" t="str">
        <f>IF(SUMPRODUCT($J$69:AC$69,$J24:AC24)&lt;0.5, "Pending", IF(AC24&lt;0.5, "Complete", "In Progress"))</f>
        <v>Pending</v>
      </c>
      <c r="AE24" s="22">
        <v>1</v>
      </c>
      <c r="AF24" s="22">
        <f t="shared" si="103"/>
        <v>1</v>
      </c>
      <c r="AG24" s="23" t="str">
        <f>IF(SUMPRODUCT($J$69:AF$69,$J24:AF24)&lt;0.5, "Pending", IF(AF24&lt;0.5, "Complete", "In Progress"))</f>
        <v>In Progress</v>
      </c>
      <c r="AH24" s="22">
        <v>0</v>
      </c>
      <c r="AI24" s="22">
        <f t="shared" si="104"/>
        <v>1</v>
      </c>
      <c r="AJ24" s="23" t="str">
        <f>IF(SUMPRODUCT($J$69:AI$69,$J24:AI24)&lt;0.5, "Pending", IF(AI24&lt;0.5, "Complete", "In Progress"))</f>
        <v>In Progress</v>
      </c>
      <c r="AK24" s="22">
        <v>0</v>
      </c>
      <c r="AL24" s="22">
        <f t="shared" si="105"/>
        <v>1</v>
      </c>
      <c r="AM24" s="23" t="str">
        <f>IF(SUMPRODUCT($J$69:AL$69,$J24:AL24)&lt;0.5, "Pending", IF(AL24&lt;0.5, "Complete", "In Progress"))</f>
        <v>In Progress</v>
      </c>
      <c r="AN24" s="22">
        <v>1</v>
      </c>
      <c r="AO24" s="22">
        <f t="shared" si="106"/>
        <v>0</v>
      </c>
      <c r="AP24" s="23" t="str">
        <f>IF(SUMPRODUCT($J$69:AO$69,$J24:AO24)&lt;0.5, "Pending", IF(AO24&lt;0.5, "Complete", "In Progress"))</f>
        <v>Complete</v>
      </c>
      <c r="AQ24" s="22">
        <v>0</v>
      </c>
      <c r="AR24" s="22">
        <f t="shared" si="107"/>
        <v>0</v>
      </c>
      <c r="AS24" s="23" t="str">
        <f>IF(SUMPRODUCT($J$69:AR$69,$J24:AR24)&lt;0.5, "Pending", IF(AR24&lt;0.5, "Complete", "In Progress"))</f>
        <v>Complete</v>
      </c>
      <c r="AT24" s="22">
        <v>0</v>
      </c>
      <c r="AU24" s="22">
        <f t="shared" si="108"/>
        <v>0</v>
      </c>
      <c r="AV24" s="23" t="str">
        <f>IF(SUMPRODUCT($J$69:AU$69,$J24:AU24)&lt;0.5, "Pending", IF(AU24&lt;0.5, "Complete", "In Progress"))</f>
        <v>Complete</v>
      </c>
      <c r="AW24" s="22">
        <v>0</v>
      </c>
      <c r="AX24" s="22">
        <f t="shared" si="109"/>
        <v>0</v>
      </c>
      <c r="AY24" s="23" t="str">
        <f>IF(SUMPRODUCT($J$69:AX$69,$J24:AX24)&lt;0.5, "Pending", IF(AX24&lt;0.5, "Complete", "In Progress"))</f>
        <v>Complete</v>
      </c>
      <c r="AZ24" s="22">
        <v>0</v>
      </c>
      <c r="BA24" s="22">
        <f t="shared" si="110"/>
        <v>0</v>
      </c>
      <c r="BB24" s="23" t="str">
        <f>IF(SUMPRODUCT($J$69:BA$69,$J24:BA24)&lt;0.5, "Pending", IF(BA24&lt;0.5, "Complete", "In Progress"))</f>
        <v>Complete</v>
      </c>
      <c r="BC24" s="22">
        <v>0</v>
      </c>
      <c r="BD24" s="22">
        <f t="shared" si="111"/>
        <v>0</v>
      </c>
      <c r="BE24" s="23" t="str">
        <f>IF(SUMPRODUCT($J$69:BD$69,$J24:BD24)&lt;0.5, "Pending", IF(BD24&lt;0.5, "Complete", "In Progress"))</f>
        <v>Complete</v>
      </c>
      <c r="BF24" s="22">
        <v>0</v>
      </c>
      <c r="BG24" s="22">
        <f t="shared" si="112"/>
        <v>0</v>
      </c>
      <c r="BH24" s="23" t="str">
        <f>IF(SUMPRODUCT($J$69:BG$69,$J24:BG24)&lt;0.5, "Pending", IF(BG24&lt;0.5, "Complete", "In Progress"))</f>
        <v>Complete</v>
      </c>
      <c r="BI24" s="22">
        <v>0</v>
      </c>
      <c r="BJ24" s="22">
        <f t="shared" si="113"/>
        <v>0</v>
      </c>
      <c r="BK24" s="23" t="str">
        <f>IF(SUMPRODUCT($J$69:BJ$69,$J24:BJ24)&lt;0.5, "Pending", IF(BJ24&lt;0.5, "Complete", "In Progress"))</f>
        <v>Complete</v>
      </c>
      <c r="BL24" s="22">
        <v>0</v>
      </c>
      <c r="BM24" s="22">
        <f t="shared" si="114"/>
        <v>0</v>
      </c>
      <c r="BN24" s="23" t="str">
        <f>IF(SUMPRODUCT($J$69:BM$69,$J24:BM24)&lt;0.5, "Pending", IF(BM24&lt;0.5, "Complete", "In Progress"))</f>
        <v>Complete</v>
      </c>
      <c r="BO24" s="22">
        <v>0</v>
      </c>
      <c r="BP24" s="22">
        <f t="shared" si="115"/>
        <v>0</v>
      </c>
      <c r="BQ24" s="23" t="str">
        <f>IF(SUMPRODUCT($J$69:BP$69,$J24:BP24)&lt;0.5, "Pending", IF(BP24&lt;0.5, "Complete", "In Progress"))</f>
        <v>Complete</v>
      </c>
      <c r="BR24" s="22">
        <v>0</v>
      </c>
      <c r="BS24" s="22">
        <f t="shared" si="116"/>
        <v>0</v>
      </c>
      <c r="BT24" s="23" t="str">
        <f>IF(SUMPRODUCT($J$69:BS$69,$J24:BS24)&lt;0.5, "Pending", IF(BS24&lt;0.5, "Complete", "In Progress"))</f>
        <v>Complete</v>
      </c>
      <c r="BU24" s="22">
        <v>0</v>
      </c>
      <c r="BV24" s="22">
        <f t="shared" si="117"/>
        <v>0</v>
      </c>
      <c r="BW24" s="23" t="str">
        <f>IF(SUMPRODUCT($J$69:BV$69,$J24:BV24)&lt;0.5, "Pending", IF(BV24&lt;0.5, "Complete", "In Progress"))</f>
        <v>Complete</v>
      </c>
      <c r="BX24" s="22">
        <v>0</v>
      </c>
      <c r="BY24" s="22">
        <f t="shared" si="118"/>
        <v>0</v>
      </c>
      <c r="BZ24" s="23" t="str">
        <f>IF(SUMPRODUCT($J$69:BY$69,$J24:BY24)&lt;0.5, "Pending", IF(BY24&lt;0.5, "Complete", "In Progress"))</f>
        <v>Complete</v>
      </c>
      <c r="CA24" s="22">
        <v>0</v>
      </c>
      <c r="CB24" s="22">
        <f t="shared" si="119"/>
        <v>0</v>
      </c>
      <c r="CC24" s="23" t="str">
        <f>IF(SUMPRODUCT($J$69:CB$69,$J24:CB24)&lt;0.5, "Pending", IF(CB24&lt;0.5, "Complete", "In Progress"))</f>
        <v>Complete</v>
      </c>
      <c r="CD24" s="24"/>
      <c r="CE24" s="25">
        <f>SUMPRODUCT($H$69:AY$69,$H24:AY24)</f>
        <v>2</v>
      </c>
    </row>
    <row r="25" spans="1:83" x14ac:dyDescent="0.2">
      <c r="A25" s="16" t="s">
        <v>105</v>
      </c>
      <c r="B25" s="16" t="s">
        <v>136</v>
      </c>
      <c r="C25" s="16"/>
      <c r="D25" s="17"/>
      <c r="E25" s="177" t="s">
        <v>154</v>
      </c>
      <c r="F25" s="18" t="s">
        <v>130</v>
      </c>
      <c r="G25" s="19" t="e">
        <f t="shared" ca="1" si="23"/>
        <v>#REF!</v>
      </c>
      <c r="H25" s="20">
        <v>1</v>
      </c>
      <c r="I25" s="21">
        <v>2</v>
      </c>
      <c r="J25" s="22">
        <v>0</v>
      </c>
      <c r="K25" s="22">
        <f t="shared" ref="K25:K26" si="120">MAX(I25-J25, 0)</f>
        <v>2</v>
      </c>
      <c r="L25" s="23" t="str">
        <f>IF(SUMPRODUCT($J$69:K$69,$J25:K25)&lt;0.5, "Pending", IF(K25&lt;0.5, "Complete", "In Progress"))</f>
        <v>Pending</v>
      </c>
      <c r="M25" s="22">
        <v>0</v>
      </c>
      <c r="N25" s="22">
        <f t="shared" ref="N25:N26" si="121">MAX(K25-M25,0)</f>
        <v>2</v>
      </c>
      <c r="O25" s="23" t="str">
        <f>IF(SUMPRODUCT($J$69:N$69,$J25:N25)&lt;0.5, "Pending", IF(N25&lt;0.5, "Complete", "In Progress"))</f>
        <v>Pending</v>
      </c>
      <c r="P25" s="22">
        <v>0</v>
      </c>
      <c r="Q25" s="22">
        <f t="shared" ref="Q25:Q26" si="122">MAX(N25-P25,0)</f>
        <v>2</v>
      </c>
      <c r="R25" s="23" t="str">
        <f>IF(SUMPRODUCT($J$69:Q$69,$J25:Q25)&lt;0.5, "Pending", IF(Q25&lt;0.5, "Complete", "In Progress"))</f>
        <v>Pending</v>
      </c>
      <c r="S25" s="22">
        <v>0</v>
      </c>
      <c r="T25" s="22">
        <f t="shared" ref="T25:T26" si="123">MAX(Q25-S25,0)</f>
        <v>2</v>
      </c>
      <c r="U25" s="23" t="str">
        <f>IF(SUMPRODUCT($J$69:T$69,$J25:T25)&lt;0.5, "Pending", IF(T25&lt;0.5, "Complete", "In Progress"))</f>
        <v>Pending</v>
      </c>
      <c r="V25" s="22">
        <v>0</v>
      </c>
      <c r="W25" s="22">
        <f t="shared" ref="W25:W26" si="124">MAX(T25-V25,0)</f>
        <v>2</v>
      </c>
      <c r="X25" s="23" t="str">
        <f>IF(SUMPRODUCT($J$69:W$69,$J25:W25)&lt;0.5, "Pending", IF(W25&lt;0.5, "Complete", "In Progress"))</f>
        <v>Pending</v>
      </c>
      <c r="Y25" s="22">
        <v>0</v>
      </c>
      <c r="Z25" s="22">
        <f t="shared" ref="Z25:Z26" si="125">MAX(W25-Y25,0)</f>
        <v>2</v>
      </c>
      <c r="AA25" s="23" t="str">
        <f>IF(SUMPRODUCT($J$69:Z$69,$J25:Z25)&lt;0.5, "Pending", IF(Z25&lt;0.5, "Complete", "In Progress"))</f>
        <v>Pending</v>
      </c>
      <c r="AB25" s="22">
        <v>0</v>
      </c>
      <c r="AC25" s="22">
        <f t="shared" ref="AC25:AC26" si="126">MAX(Z25-AB25,0)</f>
        <v>2</v>
      </c>
      <c r="AD25" s="23" t="str">
        <f>IF(SUMPRODUCT($J$69:AC$69,$J25:AC25)&lt;0.5, "Pending", IF(AC25&lt;0.5, "Complete", "In Progress"))</f>
        <v>Pending</v>
      </c>
      <c r="AE25" s="22">
        <v>0</v>
      </c>
      <c r="AF25" s="22">
        <f t="shared" ref="AF25:AF26" si="127">MAX(AC25-AE25,0)</f>
        <v>2</v>
      </c>
      <c r="AG25" s="23" t="str">
        <f>IF(SUMPRODUCT($J$69:AF$69,$J25:AF25)&lt;0.5, "Pending", IF(AF25&lt;0.5, "Complete", "In Progress"))</f>
        <v>Pending</v>
      </c>
      <c r="AH25" s="22">
        <v>1</v>
      </c>
      <c r="AI25" s="22">
        <f t="shared" ref="AI25:AI26" si="128">MAX(AF25-AH25,0)</f>
        <v>1</v>
      </c>
      <c r="AJ25" s="23" t="str">
        <f>IF(SUMPRODUCT($J$69:AI$69,$J25:AI25)&lt;0.5, "Pending", IF(AI25&lt;0.5, "Complete", "In Progress"))</f>
        <v>In Progress</v>
      </c>
      <c r="AK25" s="22">
        <v>0</v>
      </c>
      <c r="AL25" s="22">
        <f t="shared" ref="AL25:AL26" si="129">MAX(AI25-AK25,0)</f>
        <v>1</v>
      </c>
      <c r="AM25" s="23" t="str">
        <f>IF(SUMPRODUCT($J$69:AL$69,$J25:AL25)&lt;0.5, "Pending", IF(AL25&lt;0.5, "Complete", "In Progress"))</f>
        <v>In Progress</v>
      </c>
      <c r="AN25" s="22">
        <v>0</v>
      </c>
      <c r="AO25" s="22">
        <f t="shared" ref="AO25:AO26" si="130">MAX(AL25-AN25,0)</f>
        <v>1</v>
      </c>
      <c r="AP25" s="23" t="str">
        <f>IF(SUMPRODUCT($J$69:AO$69,$J25:AO25)&lt;0.5, "Pending", IF(AO25&lt;0.5, "Complete", "In Progress"))</f>
        <v>In Progress</v>
      </c>
      <c r="AQ25" s="22">
        <v>1</v>
      </c>
      <c r="AR25" s="22">
        <f t="shared" ref="AR25:AR26" si="131">MAX(AO25-AQ25,0)</f>
        <v>0</v>
      </c>
      <c r="AS25" s="23" t="str">
        <f>IF(SUMPRODUCT($J$69:AR$69,$J25:AR25)&lt;0.5, "Pending", IF(AR25&lt;0.5, "Complete", "In Progress"))</f>
        <v>Complete</v>
      </c>
      <c r="AT25" s="22">
        <v>0</v>
      </c>
      <c r="AU25" s="22">
        <f t="shared" ref="AU25:AU26" si="132">MAX(AR25-AT25,0)</f>
        <v>0</v>
      </c>
      <c r="AV25" s="23" t="str">
        <f>IF(SUMPRODUCT($J$69:AU$69,$J25:AU25)&lt;0.5, "Pending", IF(AU25&lt;0.5, "Complete", "In Progress"))</f>
        <v>Complete</v>
      </c>
      <c r="AW25" s="22">
        <v>0</v>
      </c>
      <c r="AX25" s="22">
        <f t="shared" ref="AX25:AX26" si="133">MAX(AU25-AW25,0)</f>
        <v>0</v>
      </c>
      <c r="AY25" s="23" t="str">
        <f>IF(SUMPRODUCT($J$69:AX$69,$J25:AX25)&lt;0.5, "Pending", IF(AX25&lt;0.5, "Complete", "In Progress"))</f>
        <v>Complete</v>
      </c>
      <c r="AZ25" s="22">
        <v>0</v>
      </c>
      <c r="BA25" s="22">
        <f t="shared" ref="BA25:BA26" si="134">MAX(AX25-AZ25,0)</f>
        <v>0</v>
      </c>
      <c r="BB25" s="23" t="str">
        <f>IF(SUMPRODUCT($J$69:BA$69,$J25:BA25)&lt;0.5, "Pending", IF(BA25&lt;0.5, "Complete", "In Progress"))</f>
        <v>Complete</v>
      </c>
      <c r="BC25" s="22">
        <v>0</v>
      </c>
      <c r="BD25" s="22">
        <f t="shared" ref="BD25:BD26" si="135">MAX(BA25-BC25,0)</f>
        <v>0</v>
      </c>
      <c r="BE25" s="23" t="str">
        <f>IF(SUMPRODUCT($J$69:BD$69,$J25:BD25)&lt;0.5, "Pending", IF(BD25&lt;0.5, "Complete", "In Progress"))</f>
        <v>Complete</v>
      </c>
      <c r="BF25" s="22">
        <v>0</v>
      </c>
      <c r="BG25" s="22">
        <f t="shared" ref="BG25:BG26" si="136">MAX(BD25-BF25,0)</f>
        <v>0</v>
      </c>
      <c r="BH25" s="23" t="str">
        <f>IF(SUMPRODUCT($J$69:BG$69,$J25:BG25)&lt;0.5, "Pending", IF(BG25&lt;0.5, "Complete", "In Progress"))</f>
        <v>Complete</v>
      </c>
      <c r="BI25" s="22">
        <v>0</v>
      </c>
      <c r="BJ25" s="22">
        <f t="shared" ref="BJ25:BJ26" si="137">MAX(BG25-BI25,0)</f>
        <v>0</v>
      </c>
      <c r="BK25" s="23" t="str">
        <f>IF(SUMPRODUCT($J$69:BJ$69,$J25:BJ25)&lt;0.5, "Pending", IF(BJ25&lt;0.5, "Complete", "In Progress"))</f>
        <v>Complete</v>
      </c>
      <c r="BL25" s="22">
        <v>0</v>
      </c>
      <c r="BM25" s="22">
        <f t="shared" ref="BM25:BM26" si="138">MAX(BJ25-BL25,0)</f>
        <v>0</v>
      </c>
      <c r="BN25" s="23" t="str">
        <f>IF(SUMPRODUCT($J$69:BM$69,$J25:BM25)&lt;0.5, "Pending", IF(BM25&lt;0.5, "Complete", "In Progress"))</f>
        <v>Complete</v>
      </c>
      <c r="BO25" s="22">
        <v>0</v>
      </c>
      <c r="BP25" s="22">
        <f t="shared" ref="BP25:BP26" si="139">MAX(BM25-BO25,0)</f>
        <v>0</v>
      </c>
      <c r="BQ25" s="23" t="str">
        <f>IF(SUMPRODUCT($J$69:BP$69,$J25:BP25)&lt;0.5, "Pending", IF(BP25&lt;0.5, "Complete", "In Progress"))</f>
        <v>Complete</v>
      </c>
      <c r="BR25" s="22">
        <v>0</v>
      </c>
      <c r="BS25" s="22">
        <f t="shared" ref="BS25:BS26" si="140">MAX(BP25-BR25,0)</f>
        <v>0</v>
      </c>
      <c r="BT25" s="23" t="str">
        <f>IF(SUMPRODUCT($J$69:BS$69,$J25:BS25)&lt;0.5, "Pending", IF(BS25&lt;0.5, "Complete", "In Progress"))</f>
        <v>Complete</v>
      </c>
      <c r="BU25" s="22">
        <v>0</v>
      </c>
      <c r="BV25" s="22">
        <f t="shared" ref="BV25:BV26" si="141">MAX(BS25-BU25,0)</f>
        <v>0</v>
      </c>
      <c r="BW25" s="23" t="str">
        <f>IF(SUMPRODUCT($J$69:BV$69,$J25:BV25)&lt;0.5, "Pending", IF(BV25&lt;0.5, "Complete", "In Progress"))</f>
        <v>Complete</v>
      </c>
      <c r="BX25" s="22">
        <v>0</v>
      </c>
      <c r="BY25" s="22">
        <f t="shared" ref="BY25:BY26" si="142">MAX(BV25-BX25,0)</f>
        <v>0</v>
      </c>
      <c r="BZ25" s="23" t="str">
        <f>IF(SUMPRODUCT($J$69:BY$69,$J25:BY25)&lt;0.5, "Pending", IF(BY25&lt;0.5, "Complete", "In Progress"))</f>
        <v>Complete</v>
      </c>
      <c r="CA25" s="22">
        <v>0</v>
      </c>
      <c r="CB25" s="22">
        <f t="shared" ref="CB25:CB26" si="143">MAX(BY25-CA25,0)</f>
        <v>0</v>
      </c>
      <c r="CC25" s="23" t="str">
        <f>IF(SUMPRODUCT($J$69:CB$69,$J25:CB25)&lt;0.5, "Pending", IF(CB25&lt;0.5, "Complete", "In Progress"))</f>
        <v>Complete</v>
      </c>
      <c r="CD25" s="24"/>
      <c r="CE25" s="25">
        <f>SUMPRODUCT($H$69:AY$69,$H25:AY25)</f>
        <v>2</v>
      </c>
    </row>
    <row r="26" spans="1:83" x14ac:dyDescent="0.2">
      <c r="A26" s="16" t="s">
        <v>105</v>
      </c>
      <c r="B26" s="16" t="s">
        <v>136</v>
      </c>
      <c r="C26" s="16"/>
      <c r="D26" s="17"/>
      <c r="E26" s="177" t="s">
        <v>155</v>
      </c>
      <c r="F26" s="18" t="s">
        <v>129</v>
      </c>
      <c r="G26" s="19" t="e">
        <f t="shared" ca="1" si="23"/>
        <v>#REF!</v>
      </c>
      <c r="H26" s="20">
        <v>1</v>
      </c>
      <c r="I26" s="21">
        <v>2</v>
      </c>
      <c r="J26" s="22">
        <v>0</v>
      </c>
      <c r="K26" s="22">
        <f t="shared" si="120"/>
        <v>2</v>
      </c>
      <c r="L26" s="23" t="str">
        <f>IF(SUMPRODUCT($J$69:K$69,$J26:K26)&lt;0.5, "Pending", IF(K26&lt;0.5, "Complete", "In Progress"))</f>
        <v>Pending</v>
      </c>
      <c r="M26" s="22">
        <v>0</v>
      </c>
      <c r="N26" s="22">
        <f t="shared" si="121"/>
        <v>2</v>
      </c>
      <c r="O26" s="23" t="str">
        <f>IF(SUMPRODUCT($J$69:N$69,$J26:N26)&lt;0.5, "Pending", IF(N26&lt;0.5, "Complete", "In Progress"))</f>
        <v>Pending</v>
      </c>
      <c r="P26" s="22">
        <v>0</v>
      </c>
      <c r="Q26" s="22">
        <f t="shared" si="122"/>
        <v>2</v>
      </c>
      <c r="R26" s="23" t="str">
        <f>IF(SUMPRODUCT($J$69:Q$69,$J26:Q26)&lt;0.5, "Pending", IF(Q26&lt;0.5, "Complete", "In Progress"))</f>
        <v>Pending</v>
      </c>
      <c r="S26" s="22">
        <v>0</v>
      </c>
      <c r="T26" s="22">
        <f t="shared" si="123"/>
        <v>2</v>
      </c>
      <c r="U26" s="23" t="str">
        <f>IF(SUMPRODUCT($J$69:T$69,$J26:T26)&lt;0.5, "Pending", IF(T26&lt;0.5, "Complete", "In Progress"))</f>
        <v>Pending</v>
      </c>
      <c r="V26" s="22">
        <v>0</v>
      </c>
      <c r="W26" s="22">
        <f t="shared" si="124"/>
        <v>2</v>
      </c>
      <c r="X26" s="23" t="str">
        <f>IF(SUMPRODUCT($J$69:W$69,$J26:W26)&lt;0.5, "Pending", IF(W26&lt;0.5, "Complete", "In Progress"))</f>
        <v>Pending</v>
      </c>
      <c r="Y26" s="22">
        <v>0</v>
      </c>
      <c r="Z26" s="22">
        <f t="shared" si="125"/>
        <v>2</v>
      </c>
      <c r="AA26" s="23" t="str">
        <f>IF(SUMPRODUCT($J$69:Z$69,$J26:Z26)&lt;0.5, "Pending", IF(Z26&lt;0.5, "Complete", "In Progress"))</f>
        <v>Pending</v>
      </c>
      <c r="AB26" s="22">
        <v>0</v>
      </c>
      <c r="AC26" s="22">
        <f t="shared" si="126"/>
        <v>2</v>
      </c>
      <c r="AD26" s="23" t="str">
        <f>IF(SUMPRODUCT($J$69:AC$69,$J26:AC26)&lt;0.5, "Pending", IF(AC26&lt;0.5, "Complete", "In Progress"))</f>
        <v>Pending</v>
      </c>
      <c r="AE26" s="22">
        <v>0</v>
      </c>
      <c r="AF26" s="22">
        <f t="shared" si="127"/>
        <v>2</v>
      </c>
      <c r="AG26" s="23" t="str">
        <f>IF(SUMPRODUCT($J$69:AF$69,$J26:AF26)&lt;0.5, "Pending", IF(AF26&lt;0.5, "Complete", "In Progress"))</f>
        <v>Pending</v>
      </c>
      <c r="AH26" s="22">
        <v>0</v>
      </c>
      <c r="AI26" s="22">
        <f t="shared" si="128"/>
        <v>2</v>
      </c>
      <c r="AJ26" s="23" t="str">
        <f>IF(SUMPRODUCT($J$69:AI$69,$J26:AI26)&lt;0.5, "Pending", IF(AI26&lt;0.5, "Complete", "In Progress"))</f>
        <v>Pending</v>
      </c>
      <c r="AK26" s="22">
        <v>2</v>
      </c>
      <c r="AL26" s="22">
        <f t="shared" si="129"/>
        <v>0</v>
      </c>
      <c r="AM26" s="23" t="str">
        <f>IF(SUMPRODUCT($J$69:AL$69,$J26:AL26)&lt;0.5, "Pending", IF(AL26&lt;0.5, "Complete", "In Progress"))</f>
        <v>Complete</v>
      </c>
      <c r="AN26" s="22">
        <v>0</v>
      </c>
      <c r="AO26" s="22">
        <f t="shared" si="130"/>
        <v>0</v>
      </c>
      <c r="AP26" s="23" t="str">
        <f>IF(SUMPRODUCT($J$69:AO$69,$J26:AO26)&lt;0.5, "Pending", IF(AO26&lt;0.5, "Complete", "In Progress"))</f>
        <v>Complete</v>
      </c>
      <c r="AQ26" s="22">
        <v>0</v>
      </c>
      <c r="AR26" s="22">
        <f t="shared" si="131"/>
        <v>0</v>
      </c>
      <c r="AS26" s="23" t="str">
        <f>IF(SUMPRODUCT($J$69:AR$69,$J26:AR26)&lt;0.5, "Pending", IF(AR26&lt;0.5, "Complete", "In Progress"))</f>
        <v>Complete</v>
      </c>
      <c r="AT26" s="22">
        <v>0</v>
      </c>
      <c r="AU26" s="22">
        <f t="shared" si="132"/>
        <v>0</v>
      </c>
      <c r="AV26" s="23" t="str">
        <f>IF(SUMPRODUCT($J$69:AU$69,$J26:AU26)&lt;0.5, "Pending", IF(AU26&lt;0.5, "Complete", "In Progress"))</f>
        <v>Complete</v>
      </c>
      <c r="AW26" s="22">
        <v>0</v>
      </c>
      <c r="AX26" s="22">
        <f t="shared" si="133"/>
        <v>0</v>
      </c>
      <c r="AY26" s="23" t="str">
        <f>IF(SUMPRODUCT($J$69:AX$69,$J26:AX26)&lt;0.5, "Pending", IF(AX26&lt;0.5, "Complete", "In Progress"))</f>
        <v>Complete</v>
      </c>
      <c r="AZ26" s="22">
        <v>0</v>
      </c>
      <c r="BA26" s="22">
        <f t="shared" si="134"/>
        <v>0</v>
      </c>
      <c r="BB26" s="23" t="str">
        <f>IF(SUMPRODUCT($J$69:BA$69,$J26:BA26)&lt;0.5, "Pending", IF(BA26&lt;0.5, "Complete", "In Progress"))</f>
        <v>Complete</v>
      </c>
      <c r="BC26" s="22">
        <v>0</v>
      </c>
      <c r="BD26" s="22">
        <f t="shared" si="135"/>
        <v>0</v>
      </c>
      <c r="BE26" s="23" t="str">
        <f>IF(SUMPRODUCT($J$69:BD$69,$J26:BD26)&lt;0.5, "Pending", IF(BD26&lt;0.5, "Complete", "In Progress"))</f>
        <v>Complete</v>
      </c>
      <c r="BF26" s="22">
        <v>0</v>
      </c>
      <c r="BG26" s="22">
        <f t="shared" si="136"/>
        <v>0</v>
      </c>
      <c r="BH26" s="23" t="str">
        <f>IF(SUMPRODUCT($J$69:BG$69,$J26:BG26)&lt;0.5, "Pending", IF(BG26&lt;0.5, "Complete", "In Progress"))</f>
        <v>Complete</v>
      </c>
      <c r="BI26" s="22">
        <v>0</v>
      </c>
      <c r="BJ26" s="22">
        <f t="shared" si="137"/>
        <v>0</v>
      </c>
      <c r="BK26" s="23" t="str">
        <f>IF(SUMPRODUCT($J$69:BJ$69,$J26:BJ26)&lt;0.5, "Pending", IF(BJ26&lt;0.5, "Complete", "In Progress"))</f>
        <v>Complete</v>
      </c>
      <c r="BL26" s="22">
        <v>0</v>
      </c>
      <c r="BM26" s="22">
        <f t="shared" si="138"/>
        <v>0</v>
      </c>
      <c r="BN26" s="23" t="str">
        <f>IF(SUMPRODUCT($J$69:BM$69,$J26:BM26)&lt;0.5, "Pending", IF(BM26&lt;0.5, "Complete", "In Progress"))</f>
        <v>Complete</v>
      </c>
      <c r="BO26" s="22">
        <v>0</v>
      </c>
      <c r="BP26" s="22">
        <f t="shared" si="139"/>
        <v>0</v>
      </c>
      <c r="BQ26" s="23" t="str">
        <f>IF(SUMPRODUCT($J$69:BP$69,$J26:BP26)&lt;0.5, "Pending", IF(BP26&lt;0.5, "Complete", "In Progress"))</f>
        <v>Complete</v>
      </c>
      <c r="BR26" s="22">
        <v>0</v>
      </c>
      <c r="BS26" s="22">
        <f t="shared" si="140"/>
        <v>0</v>
      </c>
      <c r="BT26" s="23" t="str">
        <f>IF(SUMPRODUCT($J$69:BS$69,$J26:BS26)&lt;0.5, "Pending", IF(BS26&lt;0.5, "Complete", "In Progress"))</f>
        <v>Complete</v>
      </c>
      <c r="BU26" s="22">
        <v>0</v>
      </c>
      <c r="BV26" s="22">
        <f t="shared" si="141"/>
        <v>0</v>
      </c>
      <c r="BW26" s="23" t="str">
        <f>IF(SUMPRODUCT($J$69:BV$69,$J26:BV26)&lt;0.5, "Pending", IF(BV26&lt;0.5, "Complete", "In Progress"))</f>
        <v>Complete</v>
      </c>
      <c r="BX26" s="22">
        <v>0</v>
      </c>
      <c r="BY26" s="22">
        <f t="shared" si="142"/>
        <v>0</v>
      </c>
      <c r="BZ26" s="23" t="str">
        <f>IF(SUMPRODUCT($J$69:BY$69,$J26:BY26)&lt;0.5, "Pending", IF(BY26&lt;0.5, "Complete", "In Progress"))</f>
        <v>Complete</v>
      </c>
      <c r="CA26" s="22">
        <v>0</v>
      </c>
      <c r="CB26" s="22">
        <f t="shared" si="143"/>
        <v>0</v>
      </c>
      <c r="CC26" s="23" t="str">
        <f>IF(SUMPRODUCT($J$69:CB$69,$J26:CB26)&lt;0.5, "Pending", IF(CB26&lt;0.5, "Complete", "In Progress"))</f>
        <v>Complete</v>
      </c>
      <c r="CD26" s="24"/>
      <c r="CE26" s="25">
        <f>SUMPRODUCT($H$69:AY$69,$H26:AY26)</f>
        <v>2</v>
      </c>
    </row>
    <row r="27" spans="1:83" x14ac:dyDescent="0.2">
      <c r="A27" s="16" t="s">
        <v>105</v>
      </c>
      <c r="B27" s="16" t="s">
        <v>136</v>
      </c>
      <c r="C27" s="16"/>
      <c r="D27" s="17"/>
      <c r="E27" s="177" t="s">
        <v>157</v>
      </c>
      <c r="F27" s="18" t="s">
        <v>129</v>
      </c>
      <c r="G27" s="19" t="e">
        <f t="shared" ca="1" si="23"/>
        <v>#REF!</v>
      </c>
      <c r="H27" s="20">
        <v>1</v>
      </c>
      <c r="I27" s="21">
        <v>2</v>
      </c>
      <c r="J27" s="22">
        <v>0</v>
      </c>
      <c r="K27" s="22">
        <f t="shared" ref="K27:K29" si="144">MAX(I27-J27, 0)</f>
        <v>2</v>
      </c>
      <c r="L27" s="23" t="str">
        <f>IF(SUMPRODUCT($J$69:K$69,$J27:K27)&lt;0.5, "Pending", IF(K27&lt;0.5, "Complete", "In Progress"))</f>
        <v>Pending</v>
      </c>
      <c r="M27" s="22">
        <v>0</v>
      </c>
      <c r="N27" s="22">
        <f t="shared" ref="N27:N29" si="145">MAX(K27-M27,0)</f>
        <v>2</v>
      </c>
      <c r="O27" s="23" t="str">
        <f>IF(SUMPRODUCT($J$69:N$69,$J27:N27)&lt;0.5, "Pending", IF(N27&lt;0.5, "Complete", "In Progress"))</f>
        <v>Pending</v>
      </c>
      <c r="P27" s="22">
        <v>0</v>
      </c>
      <c r="Q27" s="22">
        <f t="shared" ref="Q27:Q29" si="146">MAX(N27-P27,0)</f>
        <v>2</v>
      </c>
      <c r="R27" s="23" t="str">
        <f>IF(SUMPRODUCT($J$69:Q$69,$J27:Q27)&lt;0.5, "Pending", IF(Q27&lt;0.5, "Complete", "In Progress"))</f>
        <v>Pending</v>
      </c>
      <c r="S27" s="22">
        <v>0</v>
      </c>
      <c r="T27" s="22">
        <f t="shared" ref="T27:T29" si="147">MAX(Q27-S27,0)</f>
        <v>2</v>
      </c>
      <c r="U27" s="23" t="str">
        <f>IF(SUMPRODUCT($J$69:T$69,$J27:T27)&lt;0.5, "Pending", IF(T27&lt;0.5, "Complete", "In Progress"))</f>
        <v>Pending</v>
      </c>
      <c r="V27" s="22">
        <v>0</v>
      </c>
      <c r="W27" s="22">
        <f t="shared" ref="W27:W29" si="148">MAX(T27-V27,0)</f>
        <v>2</v>
      </c>
      <c r="X27" s="23" t="str">
        <f>IF(SUMPRODUCT($J$69:W$69,$J27:W27)&lt;0.5, "Pending", IF(W27&lt;0.5, "Complete", "In Progress"))</f>
        <v>Pending</v>
      </c>
      <c r="Y27" s="22">
        <v>0</v>
      </c>
      <c r="Z27" s="22">
        <f t="shared" ref="Z27:Z29" si="149">MAX(W27-Y27,0)</f>
        <v>2</v>
      </c>
      <c r="AA27" s="23" t="str">
        <f>IF(SUMPRODUCT($J$69:Z$69,$J27:Z27)&lt;0.5, "Pending", IF(Z27&lt;0.5, "Complete", "In Progress"))</f>
        <v>Pending</v>
      </c>
      <c r="AB27" s="22">
        <v>0</v>
      </c>
      <c r="AC27" s="22">
        <f t="shared" ref="AC27:AC29" si="150">MAX(Z27-AB27,0)</f>
        <v>2</v>
      </c>
      <c r="AD27" s="23" t="str">
        <f>IF(SUMPRODUCT($J$69:AC$69,$J27:AC27)&lt;0.5, "Pending", IF(AC27&lt;0.5, "Complete", "In Progress"))</f>
        <v>Pending</v>
      </c>
      <c r="AE27" s="22">
        <v>0</v>
      </c>
      <c r="AF27" s="22">
        <f t="shared" ref="AF27:AF29" si="151">MAX(AC27-AE27,0)</f>
        <v>2</v>
      </c>
      <c r="AG27" s="23" t="str">
        <f>IF(SUMPRODUCT($J$69:AF$69,$J27:AF27)&lt;0.5, "Pending", IF(AF27&lt;0.5, "Complete", "In Progress"))</f>
        <v>Pending</v>
      </c>
      <c r="AH27" s="22">
        <v>0</v>
      </c>
      <c r="AI27" s="22">
        <f t="shared" ref="AI27:AI29" si="152">MAX(AF27-AH27,0)</f>
        <v>2</v>
      </c>
      <c r="AJ27" s="23" t="str">
        <f>IF(SUMPRODUCT($J$69:AI$69,$J27:AI27)&lt;0.5, "Pending", IF(AI27&lt;0.5, "Complete", "In Progress"))</f>
        <v>Pending</v>
      </c>
      <c r="AK27" s="22">
        <v>2</v>
      </c>
      <c r="AL27" s="22">
        <f t="shared" ref="AL27:AL29" si="153">MAX(AI27-AK27,0)</f>
        <v>0</v>
      </c>
      <c r="AM27" s="23" t="str">
        <f>IF(SUMPRODUCT($J$69:AL$69,$J27:AL27)&lt;0.5, "Pending", IF(AL27&lt;0.5, "Complete", "In Progress"))</f>
        <v>Complete</v>
      </c>
      <c r="AN27" s="22">
        <v>0</v>
      </c>
      <c r="AO27" s="22">
        <f t="shared" ref="AO27:AO29" si="154">MAX(AL27-AN27,0)</f>
        <v>0</v>
      </c>
      <c r="AP27" s="23" t="str">
        <f>IF(SUMPRODUCT($J$69:AO$69,$J27:AO27)&lt;0.5, "Pending", IF(AO27&lt;0.5, "Complete", "In Progress"))</f>
        <v>Complete</v>
      </c>
      <c r="AQ27" s="22">
        <v>0</v>
      </c>
      <c r="AR27" s="22">
        <f t="shared" ref="AR27:AR29" si="155">MAX(AO27-AQ27,0)</f>
        <v>0</v>
      </c>
      <c r="AS27" s="23" t="str">
        <f>IF(SUMPRODUCT($J$69:AR$69,$J27:AR27)&lt;0.5, "Pending", IF(AR27&lt;0.5, "Complete", "In Progress"))</f>
        <v>Complete</v>
      </c>
      <c r="AT27" s="22">
        <v>0</v>
      </c>
      <c r="AU27" s="22">
        <f t="shared" ref="AU27:AU29" si="156">MAX(AR27-AT27,0)</f>
        <v>0</v>
      </c>
      <c r="AV27" s="23" t="str">
        <f>IF(SUMPRODUCT($J$69:AU$69,$J27:AU27)&lt;0.5, "Pending", IF(AU27&lt;0.5, "Complete", "In Progress"))</f>
        <v>Complete</v>
      </c>
      <c r="AW27" s="22">
        <v>0</v>
      </c>
      <c r="AX27" s="22">
        <f t="shared" ref="AX27:AX29" si="157">MAX(AU27-AW27,0)</f>
        <v>0</v>
      </c>
      <c r="AY27" s="23" t="str">
        <f>IF(SUMPRODUCT($J$69:AX$69,$J27:AX27)&lt;0.5, "Pending", IF(AX27&lt;0.5, "Complete", "In Progress"))</f>
        <v>Complete</v>
      </c>
      <c r="AZ27" s="22">
        <v>0</v>
      </c>
      <c r="BA27" s="22">
        <f t="shared" ref="BA27:BA29" si="158">MAX(AX27-AZ27,0)</f>
        <v>0</v>
      </c>
      <c r="BB27" s="23" t="str">
        <f>IF(SUMPRODUCT($J$69:BA$69,$J27:BA27)&lt;0.5, "Pending", IF(BA27&lt;0.5, "Complete", "In Progress"))</f>
        <v>Complete</v>
      </c>
      <c r="BC27" s="22">
        <v>0</v>
      </c>
      <c r="BD27" s="22">
        <f t="shared" ref="BD27:BD29" si="159">MAX(BA27-BC27,0)</f>
        <v>0</v>
      </c>
      <c r="BE27" s="23" t="str">
        <f>IF(SUMPRODUCT($J$69:BD$69,$J27:BD27)&lt;0.5, "Pending", IF(BD27&lt;0.5, "Complete", "In Progress"))</f>
        <v>Complete</v>
      </c>
      <c r="BF27" s="22">
        <v>0</v>
      </c>
      <c r="BG27" s="22">
        <f t="shared" ref="BG27:BG29" si="160">MAX(BD27-BF27,0)</f>
        <v>0</v>
      </c>
      <c r="BH27" s="23" t="str">
        <f>IF(SUMPRODUCT($J$69:BG$69,$J27:BG27)&lt;0.5, "Pending", IF(BG27&lt;0.5, "Complete", "In Progress"))</f>
        <v>Complete</v>
      </c>
      <c r="BI27" s="22">
        <v>0</v>
      </c>
      <c r="BJ27" s="22">
        <f t="shared" ref="BJ27:BJ29" si="161">MAX(BG27-BI27,0)</f>
        <v>0</v>
      </c>
      <c r="BK27" s="23" t="str">
        <f>IF(SUMPRODUCT($J$69:BJ$69,$J27:BJ27)&lt;0.5, "Pending", IF(BJ27&lt;0.5, "Complete", "In Progress"))</f>
        <v>Complete</v>
      </c>
      <c r="BL27" s="22">
        <v>0</v>
      </c>
      <c r="BM27" s="22">
        <f t="shared" ref="BM27:BM29" si="162">MAX(BJ27-BL27,0)</f>
        <v>0</v>
      </c>
      <c r="BN27" s="23" t="str">
        <f>IF(SUMPRODUCT($J$69:BM$69,$J27:BM27)&lt;0.5, "Pending", IF(BM27&lt;0.5, "Complete", "In Progress"))</f>
        <v>Complete</v>
      </c>
      <c r="BO27" s="22">
        <v>0</v>
      </c>
      <c r="BP27" s="22">
        <f t="shared" ref="BP27:BP29" si="163">MAX(BM27-BO27,0)</f>
        <v>0</v>
      </c>
      <c r="BQ27" s="23" t="str">
        <f>IF(SUMPRODUCT($J$69:BP$69,$J27:BP27)&lt;0.5, "Pending", IF(BP27&lt;0.5, "Complete", "In Progress"))</f>
        <v>Complete</v>
      </c>
      <c r="BR27" s="22">
        <v>0</v>
      </c>
      <c r="BS27" s="22">
        <f t="shared" ref="BS27:BS29" si="164">MAX(BP27-BR27,0)</f>
        <v>0</v>
      </c>
      <c r="BT27" s="23" t="str">
        <f>IF(SUMPRODUCT($J$69:BS$69,$J27:BS27)&lt;0.5, "Pending", IF(BS27&lt;0.5, "Complete", "In Progress"))</f>
        <v>Complete</v>
      </c>
      <c r="BU27" s="22">
        <v>0</v>
      </c>
      <c r="BV27" s="22">
        <f t="shared" ref="BV27:BV29" si="165">MAX(BS27-BU27,0)</f>
        <v>0</v>
      </c>
      <c r="BW27" s="23" t="str">
        <f>IF(SUMPRODUCT($J$69:BV$69,$J27:BV27)&lt;0.5, "Pending", IF(BV27&lt;0.5, "Complete", "In Progress"))</f>
        <v>Complete</v>
      </c>
      <c r="BX27" s="22">
        <v>0</v>
      </c>
      <c r="BY27" s="22">
        <f t="shared" ref="BY27:BY29" si="166">MAX(BV27-BX27,0)</f>
        <v>0</v>
      </c>
      <c r="BZ27" s="23" t="str">
        <f>IF(SUMPRODUCT($J$69:BY$69,$J27:BY27)&lt;0.5, "Pending", IF(BY27&lt;0.5, "Complete", "In Progress"))</f>
        <v>Complete</v>
      </c>
      <c r="CA27" s="22">
        <v>0</v>
      </c>
      <c r="CB27" s="22">
        <f t="shared" ref="CB27:CB29" si="167">MAX(BY27-CA27,0)</f>
        <v>0</v>
      </c>
      <c r="CC27" s="23" t="str">
        <f>IF(SUMPRODUCT($J$69:CB$69,$J27:CB27)&lt;0.5, "Pending", IF(CB27&lt;0.5, "Complete", "In Progress"))</f>
        <v>Complete</v>
      </c>
      <c r="CD27" s="24"/>
      <c r="CE27" s="25">
        <f>SUMPRODUCT($H$69:AY$69,$H27:AY27)</f>
        <v>2</v>
      </c>
    </row>
    <row r="28" spans="1:83" x14ac:dyDescent="0.2">
      <c r="A28" s="16" t="s">
        <v>105</v>
      </c>
      <c r="B28" s="16" t="s">
        <v>136</v>
      </c>
      <c r="C28" s="16"/>
      <c r="D28" s="17"/>
      <c r="E28" s="177" t="s">
        <v>158</v>
      </c>
      <c r="F28" s="18" t="s">
        <v>129</v>
      </c>
      <c r="G28" s="19" t="e">
        <f t="shared" ca="1" si="23"/>
        <v>#REF!</v>
      </c>
      <c r="H28" s="20">
        <v>1</v>
      </c>
      <c r="I28" s="21">
        <v>2</v>
      </c>
      <c r="J28" s="22">
        <v>0</v>
      </c>
      <c r="K28" s="22">
        <f t="shared" ref="K28" si="168">MAX(I28-J28, 0)</f>
        <v>2</v>
      </c>
      <c r="L28" s="23" t="str">
        <f>IF(SUMPRODUCT($J$69:K$69,$J28:K28)&lt;0.5, "Pending", IF(K28&lt;0.5, "Complete", "In Progress"))</f>
        <v>Pending</v>
      </c>
      <c r="M28" s="22">
        <v>0</v>
      </c>
      <c r="N28" s="22">
        <f t="shared" ref="N28" si="169">MAX(K28-M28,0)</f>
        <v>2</v>
      </c>
      <c r="O28" s="23" t="str">
        <f>IF(SUMPRODUCT($J$69:N$69,$J28:N28)&lt;0.5, "Pending", IF(N28&lt;0.5, "Complete", "In Progress"))</f>
        <v>Pending</v>
      </c>
      <c r="P28" s="22">
        <v>0</v>
      </c>
      <c r="Q28" s="22">
        <f t="shared" ref="Q28" si="170">MAX(N28-P28,0)</f>
        <v>2</v>
      </c>
      <c r="R28" s="23" t="str">
        <f>IF(SUMPRODUCT($J$69:Q$69,$J28:Q28)&lt;0.5, "Pending", IF(Q28&lt;0.5, "Complete", "In Progress"))</f>
        <v>Pending</v>
      </c>
      <c r="S28" s="22">
        <v>0</v>
      </c>
      <c r="T28" s="22">
        <f t="shared" ref="T28" si="171">MAX(Q28-S28,0)</f>
        <v>2</v>
      </c>
      <c r="U28" s="23" t="str">
        <f>IF(SUMPRODUCT($J$69:T$69,$J28:T28)&lt;0.5, "Pending", IF(T28&lt;0.5, "Complete", "In Progress"))</f>
        <v>Pending</v>
      </c>
      <c r="V28" s="22">
        <v>0</v>
      </c>
      <c r="W28" s="22">
        <f t="shared" ref="W28" si="172">MAX(T28-V28,0)</f>
        <v>2</v>
      </c>
      <c r="X28" s="23" t="str">
        <f>IF(SUMPRODUCT($J$69:W$69,$J28:W28)&lt;0.5, "Pending", IF(W28&lt;0.5, "Complete", "In Progress"))</f>
        <v>Pending</v>
      </c>
      <c r="Y28" s="22">
        <v>0</v>
      </c>
      <c r="Z28" s="22">
        <f t="shared" ref="Z28" si="173">MAX(W28-Y28,0)</f>
        <v>2</v>
      </c>
      <c r="AA28" s="23" t="str">
        <f>IF(SUMPRODUCT($J$69:Z$69,$J28:Z28)&lt;0.5, "Pending", IF(Z28&lt;0.5, "Complete", "In Progress"))</f>
        <v>Pending</v>
      </c>
      <c r="AB28" s="22">
        <v>0</v>
      </c>
      <c r="AC28" s="22">
        <f t="shared" ref="AC28" si="174">MAX(Z28-AB28,0)</f>
        <v>2</v>
      </c>
      <c r="AD28" s="23" t="str">
        <f>IF(SUMPRODUCT($J$69:AC$69,$J28:AC28)&lt;0.5, "Pending", IF(AC28&lt;0.5, "Complete", "In Progress"))</f>
        <v>Pending</v>
      </c>
      <c r="AE28" s="22">
        <v>0</v>
      </c>
      <c r="AF28" s="22">
        <f t="shared" ref="AF28" si="175">MAX(AC28-AE28,0)</f>
        <v>2</v>
      </c>
      <c r="AG28" s="23" t="str">
        <f>IF(SUMPRODUCT($J$69:AF$69,$J28:AF28)&lt;0.5, "Pending", IF(AF28&lt;0.5, "Complete", "In Progress"))</f>
        <v>Pending</v>
      </c>
      <c r="AH28" s="22">
        <v>1</v>
      </c>
      <c r="AI28" s="22">
        <f t="shared" ref="AI28" si="176">MAX(AF28-AH28,0)</f>
        <v>1</v>
      </c>
      <c r="AJ28" s="23" t="str">
        <f>IF(SUMPRODUCT($J$69:AI$69,$J28:AI28)&lt;0.5, "Pending", IF(AI28&lt;0.5, "Complete", "In Progress"))</f>
        <v>In Progress</v>
      </c>
      <c r="AK28" s="22">
        <v>0</v>
      </c>
      <c r="AL28" s="22">
        <f t="shared" ref="AL28" si="177">MAX(AI28-AK28,0)</f>
        <v>1</v>
      </c>
      <c r="AM28" s="23" t="str">
        <f>IF(SUMPRODUCT($J$69:AL$69,$J28:AL28)&lt;0.5, "Pending", IF(AL28&lt;0.5, "Complete", "In Progress"))</f>
        <v>In Progress</v>
      </c>
      <c r="AN28" s="22">
        <v>0</v>
      </c>
      <c r="AO28" s="22">
        <f t="shared" ref="AO28" si="178">MAX(AL28-AN28,0)</f>
        <v>1</v>
      </c>
      <c r="AP28" s="23" t="str">
        <f>IF(SUMPRODUCT($J$69:AO$69,$J28:AO28)&lt;0.5, "Pending", IF(AO28&lt;0.5, "Complete", "In Progress"))</f>
        <v>In Progress</v>
      </c>
      <c r="AQ28" s="22">
        <v>1</v>
      </c>
      <c r="AR28" s="22">
        <f t="shared" ref="AR28" si="179">MAX(AO28-AQ28,0)</f>
        <v>0</v>
      </c>
      <c r="AS28" s="23" t="str">
        <f>IF(SUMPRODUCT($J$69:AR$69,$J28:AR28)&lt;0.5, "Pending", IF(AR28&lt;0.5, "Complete", "In Progress"))</f>
        <v>Complete</v>
      </c>
      <c r="AT28" s="22">
        <v>0</v>
      </c>
      <c r="AU28" s="22">
        <f t="shared" ref="AU28" si="180">MAX(AR28-AT28,0)</f>
        <v>0</v>
      </c>
      <c r="AV28" s="23" t="str">
        <f>IF(SUMPRODUCT($J$69:AU$69,$J28:AU28)&lt;0.5, "Pending", IF(AU28&lt;0.5, "Complete", "In Progress"))</f>
        <v>Complete</v>
      </c>
      <c r="AW28" s="22">
        <v>0</v>
      </c>
      <c r="AX28" s="22">
        <f t="shared" ref="AX28" si="181">MAX(AU28-AW28,0)</f>
        <v>0</v>
      </c>
      <c r="AY28" s="23" t="str">
        <f>IF(SUMPRODUCT($J$69:AX$69,$J28:AX28)&lt;0.5, "Pending", IF(AX28&lt;0.5, "Complete", "In Progress"))</f>
        <v>Complete</v>
      </c>
      <c r="AZ28" s="22">
        <v>0</v>
      </c>
      <c r="BA28" s="22">
        <f t="shared" ref="BA28" si="182">MAX(AX28-AZ28,0)</f>
        <v>0</v>
      </c>
      <c r="BB28" s="23" t="str">
        <f>IF(SUMPRODUCT($J$69:BA$69,$J28:BA28)&lt;0.5, "Pending", IF(BA28&lt;0.5, "Complete", "In Progress"))</f>
        <v>Complete</v>
      </c>
      <c r="BC28" s="22">
        <v>0</v>
      </c>
      <c r="BD28" s="22">
        <f t="shared" ref="BD28" si="183">MAX(BA28-BC28,0)</f>
        <v>0</v>
      </c>
      <c r="BE28" s="23" t="str">
        <f>IF(SUMPRODUCT($J$69:BD$69,$J28:BD28)&lt;0.5, "Pending", IF(BD28&lt;0.5, "Complete", "In Progress"))</f>
        <v>Complete</v>
      </c>
      <c r="BF28" s="22">
        <v>0</v>
      </c>
      <c r="BG28" s="22">
        <f t="shared" ref="BG28" si="184">MAX(BD28-BF28,0)</f>
        <v>0</v>
      </c>
      <c r="BH28" s="23" t="str">
        <f>IF(SUMPRODUCT($J$69:BG$69,$J28:BG28)&lt;0.5, "Pending", IF(BG28&lt;0.5, "Complete", "In Progress"))</f>
        <v>Complete</v>
      </c>
      <c r="BI28" s="22">
        <v>0</v>
      </c>
      <c r="BJ28" s="22">
        <f t="shared" ref="BJ28" si="185">MAX(BG28-BI28,0)</f>
        <v>0</v>
      </c>
      <c r="BK28" s="23" t="str">
        <f>IF(SUMPRODUCT($J$69:BJ$69,$J28:BJ28)&lt;0.5, "Pending", IF(BJ28&lt;0.5, "Complete", "In Progress"))</f>
        <v>Complete</v>
      </c>
      <c r="BL28" s="22">
        <v>0</v>
      </c>
      <c r="BM28" s="22">
        <f t="shared" ref="BM28" si="186">MAX(BJ28-BL28,0)</f>
        <v>0</v>
      </c>
      <c r="BN28" s="23" t="str">
        <f>IF(SUMPRODUCT($J$69:BM$69,$J28:BM28)&lt;0.5, "Pending", IF(BM28&lt;0.5, "Complete", "In Progress"))</f>
        <v>Complete</v>
      </c>
      <c r="BO28" s="22">
        <v>0</v>
      </c>
      <c r="BP28" s="22">
        <f t="shared" ref="BP28" si="187">MAX(BM28-BO28,0)</f>
        <v>0</v>
      </c>
      <c r="BQ28" s="23" t="str">
        <f>IF(SUMPRODUCT($J$69:BP$69,$J28:BP28)&lt;0.5, "Pending", IF(BP28&lt;0.5, "Complete", "In Progress"))</f>
        <v>Complete</v>
      </c>
      <c r="BR28" s="22">
        <v>0</v>
      </c>
      <c r="BS28" s="22">
        <f t="shared" ref="BS28" si="188">MAX(BP28-BR28,0)</f>
        <v>0</v>
      </c>
      <c r="BT28" s="23" t="str">
        <f>IF(SUMPRODUCT($J$69:BS$69,$J28:BS28)&lt;0.5, "Pending", IF(BS28&lt;0.5, "Complete", "In Progress"))</f>
        <v>Complete</v>
      </c>
      <c r="BU28" s="22">
        <v>0</v>
      </c>
      <c r="BV28" s="22">
        <f t="shared" ref="BV28" si="189">MAX(BS28-BU28,0)</f>
        <v>0</v>
      </c>
      <c r="BW28" s="23" t="str">
        <f>IF(SUMPRODUCT($J$69:BV$69,$J28:BV28)&lt;0.5, "Pending", IF(BV28&lt;0.5, "Complete", "In Progress"))</f>
        <v>Complete</v>
      </c>
      <c r="BX28" s="22">
        <v>0</v>
      </c>
      <c r="BY28" s="22">
        <f t="shared" ref="BY28" si="190">MAX(BV28-BX28,0)</f>
        <v>0</v>
      </c>
      <c r="BZ28" s="23" t="str">
        <f>IF(SUMPRODUCT($J$69:BY$69,$J28:BY28)&lt;0.5, "Pending", IF(BY28&lt;0.5, "Complete", "In Progress"))</f>
        <v>Complete</v>
      </c>
      <c r="CA28" s="22">
        <v>0</v>
      </c>
      <c r="CB28" s="22">
        <f t="shared" ref="CB28" si="191">MAX(BY28-CA28,0)</f>
        <v>0</v>
      </c>
      <c r="CC28" s="23" t="str">
        <f>IF(SUMPRODUCT($J$69:CB$69,$J28:CB28)&lt;0.5, "Pending", IF(CB28&lt;0.5, "Complete", "In Progress"))</f>
        <v>Complete</v>
      </c>
      <c r="CD28" s="24"/>
      <c r="CE28" s="25">
        <f>SUMPRODUCT($H$69:AY$69,$H28:AY28)</f>
        <v>2</v>
      </c>
    </row>
    <row r="29" spans="1:83" x14ac:dyDescent="0.2">
      <c r="A29" s="16" t="s">
        <v>105</v>
      </c>
      <c r="B29" s="16" t="s">
        <v>136</v>
      </c>
      <c r="C29" s="16"/>
      <c r="D29" s="17"/>
      <c r="E29" s="177" t="s">
        <v>159</v>
      </c>
      <c r="F29" s="18" t="s">
        <v>130</v>
      </c>
      <c r="G29" s="19" t="e">
        <f t="shared" ca="1" si="23"/>
        <v>#REF!</v>
      </c>
      <c r="H29" s="20">
        <v>1</v>
      </c>
      <c r="I29" s="21">
        <v>2</v>
      </c>
      <c r="J29" s="22">
        <v>0</v>
      </c>
      <c r="K29" s="22">
        <f t="shared" si="144"/>
        <v>2</v>
      </c>
      <c r="L29" s="23" t="str">
        <f>IF(SUMPRODUCT($J$69:K$69,$J29:K29)&lt;0.5, "Pending", IF(K29&lt;0.5, "Complete", "In Progress"))</f>
        <v>Pending</v>
      </c>
      <c r="M29" s="22">
        <v>0</v>
      </c>
      <c r="N29" s="22">
        <f t="shared" si="145"/>
        <v>2</v>
      </c>
      <c r="O29" s="23" t="str">
        <f>IF(SUMPRODUCT($J$69:N$69,$J29:N29)&lt;0.5, "Pending", IF(N29&lt;0.5, "Complete", "In Progress"))</f>
        <v>Pending</v>
      </c>
      <c r="P29" s="22">
        <v>0</v>
      </c>
      <c r="Q29" s="22">
        <f t="shared" si="146"/>
        <v>2</v>
      </c>
      <c r="R29" s="23" t="str">
        <f>IF(SUMPRODUCT($J$69:Q$69,$J29:Q29)&lt;0.5, "Pending", IF(Q29&lt;0.5, "Complete", "In Progress"))</f>
        <v>Pending</v>
      </c>
      <c r="S29" s="22">
        <v>0</v>
      </c>
      <c r="T29" s="22">
        <f t="shared" si="147"/>
        <v>2</v>
      </c>
      <c r="U29" s="23" t="str">
        <f>IF(SUMPRODUCT($J$69:T$69,$J29:T29)&lt;0.5, "Pending", IF(T29&lt;0.5, "Complete", "In Progress"))</f>
        <v>Pending</v>
      </c>
      <c r="V29" s="22">
        <v>0</v>
      </c>
      <c r="W29" s="22">
        <f t="shared" si="148"/>
        <v>2</v>
      </c>
      <c r="X29" s="23" t="str">
        <f>IF(SUMPRODUCT($J$69:W$69,$J29:W29)&lt;0.5, "Pending", IF(W29&lt;0.5, "Complete", "In Progress"))</f>
        <v>Pending</v>
      </c>
      <c r="Y29" s="22">
        <v>0</v>
      </c>
      <c r="Z29" s="22">
        <f t="shared" si="149"/>
        <v>2</v>
      </c>
      <c r="AA29" s="23" t="str">
        <f>IF(SUMPRODUCT($J$69:Z$69,$J29:Z29)&lt;0.5, "Pending", IF(Z29&lt;0.5, "Complete", "In Progress"))</f>
        <v>Pending</v>
      </c>
      <c r="AB29" s="22">
        <v>0</v>
      </c>
      <c r="AC29" s="22">
        <f t="shared" si="150"/>
        <v>2</v>
      </c>
      <c r="AD29" s="23" t="str">
        <f>IF(SUMPRODUCT($J$69:AC$69,$J29:AC29)&lt;0.5, "Pending", IF(AC29&lt;0.5, "Complete", "In Progress"))</f>
        <v>Pending</v>
      </c>
      <c r="AE29" s="22">
        <v>0</v>
      </c>
      <c r="AF29" s="22">
        <f t="shared" si="151"/>
        <v>2</v>
      </c>
      <c r="AG29" s="23" t="str">
        <f>IF(SUMPRODUCT($J$69:AF$69,$J29:AF29)&lt;0.5, "Pending", IF(AF29&lt;0.5, "Complete", "In Progress"))</f>
        <v>Pending</v>
      </c>
      <c r="AH29" s="22">
        <v>0</v>
      </c>
      <c r="AI29" s="22">
        <f t="shared" si="152"/>
        <v>2</v>
      </c>
      <c r="AJ29" s="23" t="str">
        <f>IF(SUMPRODUCT($J$69:AI$69,$J29:AI29)&lt;0.5, "Pending", IF(AI29&lt;0.5, "Complete", "In Progress"))</f>
        <v>Pending</v>
      </c>
      <c r="AK29" s="22">
        <v>0</v>
      </c>
      <c r="AL29" s="22">
        <f t="shared" si="153"/>
        <v>2</v>
      </c>
      <c r="AM29" s="23" t="str">
        <f>IF(SUMPRODUCT($J$69:AL$69,$J29:AL29)&lt;0.5, "Pending", IF(AL29&lt;0.5, "Complete", "In Progress"))</f>
        <v>Pending</v>
      </c>
      <c r="AN29" s="22">
        <v>0</v>
      </c>
      <c r="AO29" s="22">
        <f t="shared" si="154"/>
        <v>2</v>
      </c>
      <c r="AP29" s="23" t="str">
        <f>IF(SUMPRODUCT($J$69:AO$69,$J29:AO29)&lt;0.5, "Pending", IF(AO29&lt;0.5, "Complete", "In Progress"))</f>
        <v>Pending</v>
      </c>
      <c r="AQ29" s="22">
        <v>2</v>
      </c>
      <c r="AR29" s="22">
        <f t="shared" si="155"/>
        <v>0</v>
      </c>
      <c r="AS29" s="23" t="str">
        <f>IF(SUMPRODUCT($J$69:AR$69,$J29:AR29)&lt;0.5, "Pending", IF(AR29&lt;0.5, "Complete", "In Progress"))</f>
        <v>Complete</v>
      </c>
      <c r="AT29" s="22">
        <v>0</v>
      </c>
      <c r="AU29" s="22">
        <f t="shared" si="156"/>
        <v>0</v>
      </c>
      <c r="AV29" s="23" t="str">
        <f>IF(SUMPRODUCT($J$69:AU$69,$J29:AU29)&lt;0.5, "Pending", IF(AU29&lt;0.5, "Complete", "In Progress"))</f>
        <v>Complete</v>
      </c>
      <c r="AW29" s="22">
        <v>0</v>
      </c>
      <c r="AX29" s="22">
        <f t="shared" si="157"/>
        <v>0</v>
      </c>
      <c r="AY29" s="23" t="str">
        <f>IF(SUMPRODUCT($J$69:AX$69,$J29:AX29)&lt;0.5, "Pending", IF(AX29&lt;0.5, "Complete", "In Progress"))</f>
        <v>Complete</v>
      </c>
      <c r="AZ29" s="22">
        <v>0</v>
      </c>
      <c r="BA29" s="22">
        <f t="shared" si="158"/>
        <v>0</v>
      </c>
      <c r="BB29" s="23" t="str">
        <f>IF(SUMPRODUCT($J$69:BA$69,$J29:BA29)&lt;0.5, "Pending", IF(BA29&lt;0.5, "Complete", "In Progress"))</f>
        <v>Complete</v>
      </c>
      <c r="BC29" s="22">
        <v>0</v>
      </c>
      <c r="BD29" s="22">
        <f t="shared" si="159"/>
        <v>0</v>
      </c>
      <c r="BE29" s="23" t="str">
        <f>IF(SUMPRODUCT($J$69:BD$69,$J29:BD29)&lt;0.5, "Pending", IF(BD29&lt;0.5, "Complete", "In Progress"))</f>
        <v>Complete</v>
      </c>
      <c r="BF29" s="22">
        <v>0</v>
      </c>
      <c r="BG29" s="22">
        <f t="shared" si="160"/>
        <v>0</v>
      </c>
      <c r="BH29" s="23" t="str">
        <f>IF(SUMPRODUCT($J$69:BG$69,$J29:BG29)&lt;0.5, "Pending", IF(BG29&lt;0.5, "Complete", "In Progress"))</f>
        <v>Complete</v>
      </c>
      <c r="BI29" s="22">
        <v>0</v>
      </c>
      <c r="BJ29" s="22">
        <f t="shared" si="161"/>
        <v>0</v>
      </c>
      <c r="BK29" s="23" t="str">
        <f>IF(SUMPRODUCT($J$69:BJ$69,$J29:BJ29)&lt;0.5, "Pending", IF(BJ29&lt;0.5, "Complete", "In Progress"))</f>
        <v>Complete</v>
      </c>
      <c r="BL29" s="22">
        <v>0</v>
      </c>
      <c r="BM29" s="22">
        <f t="shared" si="162"/>
        <v>0</v>
      </c>
      <c r="BN29" s="23" t="str">
        <f>IF(SUMPRODUCT($J$69:BM$69,$J29:BM29)&lt;0.5, "Pending", IF(BM29&lt;0.5, "Complete", "In Progress"))</f>
        <v>Complete</v>
      </c>
      <c r="BO29" s="22">
        <v>0</v>
      </c>
      <c r="BP29" s="22">
        <f t="shared" si="163"/>
        <v>0</v>
      </c>
      <c r="BQ29" s="23" t="str">
        <f>IF(SUMPRODUCT($J$69:BP$69,$J29:BP29)&lt;0.5, "Pending", IF(BP29&lt;0.5, "Complete", "In Progress"))</f>
        <v>Complete</v>
      </c>
      <c r="BR29" s="22">
        <v>0</v>
      </c>
      <c r="BS29" s="22">
        <f t="shared" si="164"/>
        <v>0</v>
      </c>
      <c r="BT29" s="23" t="str">
        <f>IF(SUMPRODUCT($J$69:BS$69,$J29:BS29)&lt;0.5, "Pending", IF(BS29&lt;0.5, "Complete", "In Progress"))</f>
        <v>Complete</v>
      </c>
      <c r="BU29" s="22">
        <v>0</v>
      </c>
      <c r="BV29" s="22">
        <f t="shared" si="165"/>
        <v>0</v>
      </c>
      <c r="BW29" s="23" t="str">
        <f>IF(SUMPRODUCT($J$69:BV$69,$J29:BV29)&lt;0.5, "Pending", IF(BV29&lt;0.5, "Complete", "In Progress"))</f>
        <v>Complete</v>
      </c>
      <c r="BX29" s="22">
        <v>0</v>
      </c>
      <c r="BY29" s="22">
        <f t="shared" si="166"/>
        <v>0</v>
      </c>
      <c r="BZ29" s="23" t="str">
        <f>IF(SUMPRODUCT($J$69:BY$69,$J29:BY29)&lt;0.5, "Pending", IF(BY29&lt;0.5, "Complete", "In Progress"))</f>
        <v>Complete</v>
      </c>
      <c r="CA29" s="22">
        <v>0</v>
      </c>
      <c r="CB29" s="22">
        <f t="shared" si="167"/>
        <v>0</v>
      </c>
      <c r="CC29" s="23" t="str">
        <f>IF(SUMPRODUCT($J$69:CB$69,$J29:CB29)&lt;0.5, "Pending", IF(CB29&lt;0.5, "Complete", "In Progress"))</f>
        <v>Complete</v>
      </c>
      <c r="CD29" s="24"/>
      <c r="CE29" s="25">
        <f>SUMPRODUCT($H$69:AY$69,$H29:AY29)</f>
        <v>2</v>
      </c>
    </row>
    <row r="30" spans="1:83" ht="12.75" hidden="1" customHeight="1" x14ac:dyDescent="0.2">
      <c r="A30" s="16"/>
      <c r="B30" s="16"/>
      <c r="C30" s="16"/>
      <c r="D30" s="17"/>
      <c r="E30" s="177"/>
      <c r="F30" s="18" t="s">
        <v>128</v>
      </c>
      <c r="G30" s="19" t="e">
        <f t="shared" ca="1" si="23"/>
        <v>#REF!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IF(SUMPRODUCT($J$69:K$69,$J30:K30)&lt;0.5,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IF(SUMPRODUCT($J$69:N$69,$J30:N30)&lt;0.5,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IF(SUMPRODUCT($J$69:Q$69,$J30:Q30)&lt;0.5,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IF(SUMPRODUCT($J$69:T$69,$J30:T30)&lt;0.5,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IF(SUMPRODUCT($J$69:W$69,$J30:W30)&lt;0.5,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IF(SUMPRODUCT($J$69:Z$69,$J30:Z30)&lt;0.5,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IF(SUMPRODUCT($J$69:AC$69,$J30:AC30)&lt;0.5,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IF(SUMPRODUCT($J$69:AF$69,$J30:AF30)&lt;0.5,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IF(SUMPRODUCT($J$69:AI$69,$J30:AI30)&lt;0.5,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IF(SUMPRODUCT($J$69:AL$69,$J30:AL30)&lt;0.5,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IF(SUMPRODUCT($J$69:AO$69,$J30:AO30)&lt;0.5,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IF(SUMPRODUCT($J$69:AR$69,$J30:AR30)&lt;0.5,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IF(SUMPRODUCT($J$69:AU$69,$J30:AU30)&lt;0.5,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IF(SUMPRODUCT($J$69:AX$69,$J30:AX30)&lt;0.5,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IF(SUMPRODUCT($J$69:BA$69,$J30:BA30)&lt;0.5, "Pending", IF(BA30&lt;0.5, "Complete", "In Progress"))</f>
        <v>#REF!</v>
      </c>
      <c r="BC30" s="22">
        <v>0</v>
      </c>
      <c r="BD30" s="22" t="e">
        <f t="shared" si="39"/>
        <v>#REF!</v>
      </c>
      <c r="BE30" s="23" t="e">
        <f>IF(SUMPRODUCT($J$69:BD$69,$J30:BD30)&lt;0.5, "Pending", IF(BD30&lt;0.5, "Complete", "In Progress"))</f>
        <v>#REF!</v>
      </c>
      <c r="BF30" s="22">
        <v>0</v>
      </c>
      <c r="BG30" s="22" t="e">
        <f t="shared" si="40"/>
        <v>#REF!</v>
      </c>
      <c r="BH30" s="23" t="e">
        <f>IF(SUMPRODUCT($J$69:BG$69,$J30:BG30)&lt;0.5, "Pending", IF(BG30&lt;0.5, "Complete", "In Progress"))</f>
        <v>#REF!</v>
      </c>
      <c r="BI30" s="22">
        <v>0</v>
      </c>
      <c r="BJ30" s="22" t="e">
        <f t="shared" si="41"/>
        <v>#REF!</v>
      </c>
      <c r="BK30" s="23" t="e">
        <f>IF(SUMPRODUCT($J$69:BJ$69,$J30:BJ30)&lt;0.5, "Pending", IF(BJ30&lt;0.5, "Complete", "In Progress"))</f>
        <v>#REF!</v>
      </c>
      <c r="BL30" s="22">
        <v>0</v>
      </c>
      <c r="BM30" s="22" t="e">
        <f t="shared" si="42"/>
        <v>#REF!</v>
      </c>
      <c r="BN30" s="23" t="e">
        <f>IF(SUMPRODUCT($J$69:BM$69,$J30:BM30)&lt;0.5, "Pending", IF(BM30&lt;0.5, "Complete", "In Progress"))</f>
        <v>#REF!</v>
      </c>
      <c r="BO30" s="22">
        <v>0</v>
      </c>
      <c r="BP30" s="22" t="e">
        <f t="shared" si="43"/>
        <v>#REF!</v>
      </c>
      <c r="BQ30" s="23" t="e">
        <f>IF(SUMPRODUCT($J$69:BP$69,$J30:BP30)&lt;0.5, "Pending", IF(BP30&lt;0.5, "Complete", "In Progress"))</f>
        <v>#REF!</v>
      </c>
      <c r="BR30" s="22">
        <v>0</v>
      </c>
      <c r="BS30" s="22" t="e">
        <f t="shared" si="44"/>
        <v>#REF!</v>
      </c>
      <c r="BT30" s="23" t="e">
        <f>IF(SUMPRODUCT($J$69:BS$69,$J30:BS30)&lt;0.5, "Pending", IF(BS30&lt;0.5, "Complete", "In Progress"))</f>
        <v>#REF!</v>
      </c>
      <c r="BU30" s="22">
        <v>0</v>
      </c>
      <c r="BV30" s="22" t="e">
        <f t="shared" si="45"/>
        <v>#REF!</v>
      </c>
      <c r="BW30" s="23" t="e">
        <f>IF(SUMPRODUCT($J$69:BV$69,$J30:BV30)&lt;0.5, "Pending", IF(BV30&lt;0.5, "Complete", "In Progress"))</f>
        <v>#REF!</v>
      </c>
      <c r="BX30" s="22">
        <v>0</v>
      </c>
      <c r="BY30" s="22" t="e">
        <f t="shared" si="46"/>
        <v>#REF!</v>
      </c>
      <c r="BZ30" s="23" t="e">
        <f>IF(SUMPRODUCT($J$69:BY$69,$J30:BY30)&lt;0.5, "Pending", IF(BY30&lt;0.5, "Complete", "In Progress"))</f>
        <v>#REF!</v>
      </c>
      <c r="CA30" s="22">
        <v>0</v>
      </c>
      <c r="CB30" s="22" t="e">
        <f t="shared" si="47"/>
        <v>#REF!</v>
      </c>
      <c r="CC30" s="23" t="e">
        <f>IF(SUMPRODUCT($J$69:CB$69,$J30:CB30)&lt;0.5, "Pending", IF(CB30&lt;0.5, "Complete", "In Progress"))</f>
        <v>#REF!</v>
      </c>
      <c r="CD30" s="24"/>
      <c r="CE30" s="25">
        <f>SUMPRODUCT($H$69:AY$69,$H30:AY30)</f>
        <v>0</v>
      </c>
    </row>
    <row r="31" spans="1:83" ht="12.75" hidden="1" customHeight="1" x14ac:dyDescent="0.2">
      <c r="A31" s="16"/>
      <c r="B31" s="16"/>
      <c r="C31" s="16"/>
      <c r="D31" s="17"/>
      <c r="E31" s="177"/>
      <c r="F31" s="18" t="s">
        <v>128</v>
      </c>
      <c r="G31" s="19" t="e">
        <f t="shared" ca="1" si="23"/>
        <v>#REF!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IF(SUMPRODUCT($J$69:K$69,$J31:K31)&lt;0.5,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IF(SUMPRODUCT($J$69:N$69,$J31:N31)&lt;0.5,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IF(SUMPRODUCT($J$69:Q$69,$J31:Q31)&lt;0.5,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IF(SUMPRODUCT($J$69:T$69,$J31:T31)&lt;0.5,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IF(SUMPRODUCT($J$69:W$69,$J31:W31)&lt;0.5,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IF(SUMPRODUCT($J$69:Z$69,$J31:Z31)&lt;0.5,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IF(SUMPRODUCT($J$69:AC$69,$J31:AC31)&lt;0.5,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IF(SUMPRODUCT($J$69:AF$69,$J31:AF31)&lt;0.5,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IF(SUMPRODUCT($J$69:AI$69,$J31:AI31)&lt;0.5,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IF(SUMPRODUCT($J$69:AL$69,$J31:AL31)&lt;0.5,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IF(SUMPRODUCT($J$69:AO$69,$J31:AO31)&lt;0.5,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IF(SUMPRODUCT($J$69:AR$69,$J31:AR31)&lt;0.5,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IF(SUMPRODUCT($J$69:AU$69,$J31:AU31)&lt;0.5,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IF(SUMPRODUCT($J$69:AX$69,$J31:AX31)&lt;0.5,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IF(SUMPRODUCT($J$69:BA$69,$J31:BA31)&lt;0.5, "Pending", IF(BA31&lt;0.5, "Complete", "In Progress"))</f>
        <v>#REF!</v>
      </c>
      <c r="BC31" s="22">
        <v>0</v>
      </c>
      <c r="BD31" s="22" t="e">
        <f t="shared" si="39"/>
        <v>#REF!</v>
      </c>
      <c r="BE31" s="23" t="e">
        <f>IF(SUMPRODUCT($J$69:BD$69,$J31:BD31)&lt;0.5, "Pending", IF(BD31&lt;0.5, "Complete", "In Progress"))</f>
        <v>#REF!</v>
      </c>
      <c r="BF31" s="22">
        <v>0</v>
      </c>
      <c r="BG31" s="22" t="e">
        <f t="shared" si="40"/>
        <v>#REF!</v>
      </c>
      <c r="BH31" s="23" t="e">
        <f>IF(SUMPRODUCT($J$69:BG$69,$J31:BG31)&lt;0.5, "Pending", IF(BG31&lt;0.5, "Complete", "In Progress"))</f>
        <v>#REF!</v>
      </c>
      <c r="BI31" s="22">
        <v>0</v>
      </c>
      <c r="BJ31" s="22" t="e">
        <f t="shared" si="41"/>
        <v>#REF!</v>
      </c>
      <c r="BK31" s="23" t="e">
        <f>IF(SUMPRODUCT($J$69:BJ$69,$J31:BJ31)&lt;0.5, "Pending", IF(BJ31&lt;0.5, "Complete", "In Progress"))</f>
        <v>#REF!</v>
      </c>
      <c r="BL31" s="22">
        <v>0</v>
      </c>
      <c r="BM31" s="22" t="e">
        <f t="shared" si="42"/>
        <v>#REF!</v>
      </c>
      <c r="BN31" s="23" t="e">
        <f>IF(SUMPRODUCT($J$69:BM$69,$J31:BM31)&lt;0.5, "Pending", IF(BM31&lt;0.5, "Complete", "In Progress"))</f>
        <v>#REF!</v>
      </c>
      <c r="BO31" s="22">
        <v>0</v>
      </c>
      <c r="BP31" s="22" t="e">
        <f t="shared" si="43"/>
        <v>#REF!</v>
      </c>
      <c r="BQ31" s="23" t="e">
        <f>IF(SUMPRODUCT($J$69:BP$69,$J31:BP31)&lt;0.5, "Pending", IF(BP31&lt;0.5, "Complete", "In Progress"))</f>
        <v>#REF!</v>
      </c>
      <c r="BR31" s="22">
        <v>0</v>
      </c>
      <c r="BS31" s="22" t="e">
        <f t="shared" si="44"/>
        <v>#REF!</v>
      </c>
      <c r="BT31" s="23" t="e">
        <f>IF(SUMPRODUCT($J$69:BS$69,$J31:BS31)&lt;0.5, "Pending", IF(BS31&lt;0.5, "Complete", "In Progress"))</f>
        <v>#REF!</v>
      </c>
      <c r="BU31" s="22">
        <v>0</v>
      </c>
      <c r="BV31" s="22" t="e">
        <f t="shared" si="45"/>
        <v>#REF!</v>
      </c>
      <c r="BW31" s="23" t="e">
        <f>IF(SUMPRODUCT($J$69:BV$69,$J31:BV31)&lt;0.5, "Pending", IF(BV31&lt;0.5, "Complete", "In Progress"))</f>
        <v>#REF!</v>
      </c>
      <c r="BX31" s="22">
        <v>0</v>
      </c>
      <c r="BY31" s="22" t="e">
        <f t="shared" si="46"/>
        <v>#REF!</v>
      </c>
      <c r="BZ31" s="23" t="e">
        <f>IF(SUMPRODUCT($J$69:BY$69,$J31:BY31)&lt;0.5, "Pending", IF(BY31&lt;0.5, "Complete", "In Progress"))</f>
        <v>#REF!</v>
      </c>
      <c r="CA31" s="22">
        <v>0</v>
      </c>
      <c r="CB31" s="22" t="e">
        <f t="shared" si="47"/>
        <v>#REF!</v>
      </c>
      <c r="CC31" s="23" t="e">
        <f>IF(SUMPRODUCT($J$69:CB$69,$J31:CB31)&lt;0.5, "Pending", IF(CB31&lt;0.5, "Complete", "In Progress"))</f>
        <v>#REF!</v>
      </c>
      <c r="CD31" s="24"/>
      <c r="CE31" s="25">
        <f>SUMPRODUCT($H$69:AY$69,$H31:AY31)</f>
        <v>0</v>
      </c>
    </row>
    <row r="32" spans="1:83" ht="12.75" hidden="1" customHeight="1" x14ac:dyDescent="0.2">
      <c r="A32" s="16"/>
      <c r="B32" s="16"/>
      <c r="C32" s="16"/>
      <c r="D32" s="17"/>
      <c r="E32" s="177"/>
      <c r="F32" s="18" t="s">
        <v>128</v>
      </c>
      <c r="G32" s="19" t="e">
        <f t="shared" ca="1" si="23"/>
        <v>#REF!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IF(SUMPRODUCT($J$69:K$69,$J32:K32)&lt;0.5,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IF(SUMPRODUCT($J$69:N$69,$J32:N32)&lt;0.5,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IF(SUMPRODUCT($J$69:Q$69,$J32:Q32)&lt;0.5,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IF(SUMPRODUCT($J$69:T$69,$J32:T32)&lt;0.5,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IF(SUMPRODUCT($J$69:W$69,$J32:W32)&lt;0.5,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IF(SUMPRODUCT($J$69:Z$69,$J32:Z32)&lt;0.5,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IF(SUMPRODUCT($J$69:AC$69,$J32:AC32)&lt;0.5,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IF(SUMPRODUCT($J$69:AF$69,$J32:AF32)&lt;0.5,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IF(SUMPRODUCT($J$69:AI$69,$J32:AI32)&lt;0.5,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IF(SUMPRODUCT($J$69:AL$69,$J32:AL32)&lt;0.5,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IF(SUMPRODUCT($J$69:AO$69,$J32:AO32)&lt;0.5,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IF(SUMPRODUCT($J$69:AR$69,$J32:AR32)&lt;0.5,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IF(SUMPRODUCT($J$69:AU$69,$J32:AU32)&lt;0.5,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IF(SUMPRODUCT($J$69:AX$69,$J32:AX32)&lt;0.5,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IF(SUMPRODUCT($J$69:BA$69,$J32:BA32)&lt;0.5, "Pending", IF(BA32&lt;0.5, "Complete", "In Progress"))</f>
        <v>#REF!</v>
      </c>
      <c r="BC32" s="22">
        <v>0</v>
      </c>
      <c r="BD32" s="22" t="e">
        <f t="shared" si="39"/>
        <v>#REF!</v>
      </c>
      <c r="BE32" s="23" t="e">
        <f>IF(SUMPRODUCT($J$69:BD$69,$J32:BD32)&lt;0.5, "Pending", IF(BD32&lt;0.5, "Complete", "In Progress"))</f>
        <v>#REF!</v>
      </c>
      <c r="BF32" s="22">
        <v>0</v>
      </c>
      <c r="BG32" s="22" t="e">
        <f t="shared" si="40"/>
        <v>#REF!</v>
      </c>
      <c r="BH32" s="23" t="e">
        <f>IF(SUMPRODUCT($J$69:BG$69,$J32:BG32)&lt;0.5, "Pending", IF(BG32&lt;0.5, "Complete", "In Progress"))</f>
        <v>#REF!</v>
      </c>
      <c r="BI32" s="22">
        <v>0</v>
      </c>
      <c r="BJ32" s="22" t="e">
        <f t="shared" si="41"/>
        <v>#REF!</v>
      </c>
      <c r="BK32" s="23" t="e">
        <f>IF(SUMPRODUCT($J$69:BJ$69,$J32:BJ32)&lt;0.5, "Pending", IF(BJ32&lt;0.5, "Complete", "In Progress"))</f>
        <v>#REF!</v>
      </c>
      <c r="BL32" s="22">
        <v>0</v>
      </c>
      <c r="BM32" s="22" t="e">
        <f t="shared" si="42"/>
        <v>#REF!</v>
      </c>
      <c r="BN32" s="23" t="e">
        <f>IF(SUMPRODUCT($J$69:BM$69,$J32:BM32)&lt;0.5, "Pending", IF(BM32&lt;0.5, "Complete", "In Progress"))</f>
        <v>#REF!</v>
      </c>
      <c r="BO32" s="22">
        <v>0</v>
      </c>
      <c r="BP32" s="22" t="e">
        <f t="shared" si="43"/>
        <v>#REF!</v>
      </c>
      <c r="BQ32" s="23" t="e">
        <f>IF(SUMPRODUCT($J$69:BP$69,$J32:BP32)&lt;0.5, "Pending", IF(BP32&lt;0.5, "Complete", "In Progress"))</f>
        <v>#REF!</v>
      </c>
      <c r="BR32" s="22">
        <v>0</v>
      </c>
      <c r="BS32" s="22" t="e">
        <f t="shared" si="44"/>
        <v>#REF!</v>
      </c>
      <c r="BT32" s="23" t="e">
        <f>IF(SUMPRODUCT($J$69:BS$69,$J32:BS32)&lt;0.5, "Pending", IF(BS32&lt;0.5, "Complete", "In Progress"))</f>
        <v>#REF!</v>
      </c>
      <c r="BU32" s="22">
        <v>0</v>
      </c>
      <c r="BV32" s="22" t="e">
        <f t="shared" si="45"/>
        <v>#REF!</v>
      </c>
      <c r="BW32" s="23" t="e">
        <f>IF(SUMPRODUCT($J$69:BV$69,$J32:BV32)&lt;0.5, "Pending", IF(BV32&lt;0.5, "Complete", "In Progress"))</f>
        <v>#REF!</v>
      </c>
      <c r="BX32" s="22">
        <v>0</v>
      </c>
      <c r="BY32" s="22" t="e">
        <f t="shared" si="46"/>
        <v>#REF!</v>
      </c>
      <c r="BZ32" s="23" t="e">
        <f>IF(SUMPRODUCT($J$69:BY$69,$J32:BY32)&lt;0.5, "Pending", IF(BY32&lt;0.5, "Complete", "In Progress"))</f>
        <v>#REF!</v>
      </c>
      <c r="CA32" s="22">
        <v>0</v>
      </c>
      <c r="CB32" s="22" t="e">
        <f t="shared" si="47"/>
        <v>#REF!</v>
      </c>
      <c r="CC32" s="23" t="e">
        <f>IF(SUMPRODUCT($J$69:CB$69,$J32:CB32)&lt;0.5, "Pending", IF(CB32&lt;0.5, "Complete", "In Progress"))</f>
        <v>#REF!</v>
      </c>
      <c r="CD32" s="24"/>
      <c r="CE32" s="25">
        <f>SUMPRODUCT($H$69:AY$69,$H32:AY32)</f>
        <v>0</v>
      </c>
    </row>
    <row r="33" spans="1:83" ht="12.75" hidden="1" customHeight="1" x14ac:dyDescent="0.2">
      <c r="A33" s="16"/>
      <c r="B33" s="16"/>
      <c r="C33" s="16"/>
      <c r="D33" s="17"/>
      <c r="E33" s="177"/>
      <c r="F33" s="18" t="s">
        <v>128</v>
      </c>
      <c r="G33" s="19" t="e">
        <f t="shared" ca="1" si="23"/>
        <v>#REF!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IF(SUMPRODUCT($J$69:K$69,$J33:K33)&lt;0.5,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IF(SUMPRODUCT($J$69:N$69,$J33:N33)&lt;0.5,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IF(SUMPRODUCT($J$69:Q$69,$J33:Q33)&lt;0.5,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IF(SUMPRODUCT($J$69:T$69,$J33:T33)&lt;0.5,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IF(SUMPRODUCT($J$69:W$69,$J33:W33)&lt;0.5,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IF(SUMPRODUCT($J$69:Z$69,$J33:Z33)&lt;0.5,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IF(SUMPRODUCT($J$69:AC$69,$J33:AC33)&lt;0.5,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IF(SUMPRODUCT($J$69:AF$69,$J33:AF33)&lt;0.5,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IF(SUMPRODUCT($J$69:AI$69,$J33:AI33)&lt;0.5,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IF(SUMPRODUCT($J$69:AL$69,$J33:AL33)&lt;0.5,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IF(SUMPRODUCT($J$69:AO$69,$J33:AO33)&lt;0.5,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IF(SUMPRODUCT($J$69:AR$69,$J33:AR33)&lt;0.5,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IF(SUMPRODUCT($J$69:AU$69,$J33:AU33)&lt;0.5,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IF(SUMPRODUCT($J$69:AX$69,$J33:AX33)&lt;0.5,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IF(SUMPRODUCT($J$69:BA$69,$J33:BA33)&lt;0.5, "Pending", IF(BA33&lt;0.5, "Complete", "In Progress"))</f>
        <v>#REF!</v>
      </c>
      <c r="BC33" s="22">
        <v>0</v>
      </c>
      <c r="BD33" s="22" t="e">
        <f t="shared" si="39"/>
        <v>#REF!</v>
      </c>
      <c r="BE33" s="23" t="e">
        <f>IF(SUMPRODUCT($J$69:BD$69,$J33:BD33)&lt;0.5, "Pending", IF(BD33&lt;0.5, "Complete", "In Progress"))</f>
        <v>#REF!</v>
      </c>
      <c r="BF33" s="22">
        <v>0</v>
      </c>
      <c r="BG33" s="22" t="e">
        <f t="shared" si="40"/>
        <v>#REF!</v>
      </c>
      <c r="BH33" s="23" t="e">
        <f>IF(SUMPRODUCT($J$69:BG$69,$J33:BG33)&lt;0.5, "Pending", IF(BG33&lt;0.5, "Complete", "In Progress"))</f>
        <v>#REF!</v>
      </c>
      <c r="BI33" s="22">
        <v>0</v>
      </c>
      <c r="BJ33" s="22" t="e">
        <f t="shared" si="41"/>
        <v>#REF!</v>
      </c>
      <c r="BK33" s="23" t="e">
        <f>IF(SUMPRODUCT($J$69:BJ$69,$J33:BJ33)&lt;0.5, "Pending", IF(BJ33&lt;0.5, "Complete", "In Progress"))</f>
        <v>#REF!</v>
      </c>
      <c r="BL33" s="22">
        <v>0</v>
      </c>
      <c r="BM33" s="22" t="e">
        <f t="shared" si="42"/>
        <v>#REF!</v>
      </c>
      <c r="BN33" s="23" t="e">
        <f>IF(SUMPRODUCT($J$69:BM$69,$J33:BM33)&lt;0.5, "Pending", IF(BM33&lt;0.5, "Complete", "In Progress"))</f>
        <v>#REF!</v>
      </c>
      <c r="BO33" s="22">
        <v>0</v>
      </c>
      <c r="BP33" s="22" t="e">
        <f t="shared" si="43"/>
        <v>#REF!</v>
      </c>
      <c r="BQ33" s="23" t="e">
        <f>IF(SUMPRODUCT($J$69:BP$69,$J33:BP33)&lt;0.5, "Pending", IF(BP33&lt;0.5, "Complete", "In Progress"))</f>
        <v>#REF!</v>
      </c>
      <c r="BR33" s="22">
        <v>0</v>
      </c>
      <c r="BS33" s="22" t="e">
        <f t="shared" si="44"/>
        <v>#REF!</v>
      </c>
      <c r="BT33" s="23" t="e">
        <f>IF(SUMPRODUCT($J$69:BS$69,$J33:BS33)&lt;0.5, "Pending", IF(BS33&lt;0.5, "Complete", "In Progress"))</f>
        <v>#REF!</v>
      </c>
      <c r="BU33" s="22">
        <v>0</v>
      </c>
      <c r="BV33" s="22" t="e">
        <f t="shared" si="45"/>
        <v>#REF!</v>
      </c>
      <c r="BW33" s="23" t="e">
        <f>IF(SUMPRODUCT($J$69:BV$69,$J33:BV33)&lt;0.5, "Pending", IF(BV33&lt;0.5, "Complete", "In Progress"))</f>
        <v>#REF!</v>
      </c>
      <c r="BX33" s="22">
        <v>0</v>
      </c>
      <c r="BY33" s="22" t="e">
        <f t="shared" si="46"/>
        <v>#REF!</v>
      </c>
      <c r="BZ33" s="23" t="e">
        <f>IF(SUMPRODUCT($J$69:BY$69,$J33:BY33)&lt;0.5, "Pending", IF(BY33&lt;0.5, "Complete", "In Progress"))</f>
        <v>#REF!</v>
      </c>
      <c r="CA33" s="22">
        <v>0</v>
      </c>
      <c r="CB33" s="22" t="e">
        <f t="shared" si="47"/>
        <v>#REF!</v>
      </c>
      <c r="CC33" s="23" t="e">
        <f>IF(SUMPRODUCT($J$69:CB$69,$J33:CB33)&lt;0.5, "Pending", IF(CB33&lt;0.5, "Complete", "In Progress"))</f>
        <v>#REF!</v>
      </c>
      <c r="CD33" s="24"/>
      <c r="CE33" s="25">
        <f>SUMPRODUCT($H$69:AY$69,$H33:AY33)</f>
        <v>0</v>
      </c>
    </row>
    <row r="34" spans="1:83" ht="12.75" hidden="1" customHeight="1" x14ac:dyDescent="0.2">
      <c r="A34" s="16"/>
      <c r="B34" s="16"/>
      <c r="C34" s="16"/>
      <c r="D34" s="17"/>
      <c r="E34" s="177"/>
      <c r="F34" s="18" t="s">
        <v>128</v>
      </c>
      <c r="G34" s="19" t="e">
        <f t="shared" ca="1" si="23"/>
        <v>#REF!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IF(SUMPRODUCT($J$69:K$69,$J34:K34)&lt;0.5,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IF(SUMPRODUCT($J$69:N$69,$J34:N34)&lt;0.5,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IF(SUMPRODUCT($J$69:Q$69,$J34:Q34)&lt;0.5,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IF(SUMPRODUCT($J$69:T$69,$J34:T34)&lt;0.5,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IF(SUMPRODUCT($J$69:W$69,$J34:W34)&lt;0.5,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IF(SUMPRODUCT($J$69:Z$69,$J34:Z34)&lt;0.5,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IF(SUMPRODUCT($J$69:AC$69,$J34:AC34)&lt;0.5,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IF(SUMPRODUCT($J$69:AF$69,$J34:AF34)&lt;0.5,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IF(SUMPRODUCT($J$69:AI$69,$J34:AI34)&lt;0.5,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IF(SUMPRODUCT($J$69:AL$69,$J34:AL34)&lt;0.5,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IF(SUMPRODUCT($J$69:AO$69,$J34:AO34)&lt;0.5,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IF(SUMPRODUCT($J$69:AR$69,$J34:AR34)&lt;0.5,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IF(SUMPRODUCT($J$69:AU$69,$J34:AU34)&lt;0.5,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IF(SUMPRODUCT($J$69:AX$69,$J34:AX34)&lt;0.5,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IF(SUMPRODUCT($J$69:BA$69,$J34:BA34)&lt;0.5, "Pending", IF(BA34&lt;0.5, "Complete", "In Progress"))</f>
        <v>#REF!</v>
      </c>
      <c r="BC34" s="22">
        <v>0</v>
      </c>
      <c r="BD34" s="22" t="e">
        <f t="shared" si="39"/>
        <v>#REF!</v>
      </c>
      <c r="BE34" s="23" t="e">
        <f>IF(SUMPRODUCT($J$69:BD$69,$J34:BD34)&lt;0.5, "Pending", IF(BD34&lt;0.5, "Complete", "In Progress"))</f>
        <v>#REF!</v>
      </c>
      <c r="BF34" s="22">
        <v>0</v>
      </c>
      <c r="BG34" s="22" t="e">
        <f t="shared" si="40"/>
        <v>#REF!</v>
      </c>
      <c r="BH34" s="23" t="e">
        <f>IF(SUMPRODUCT($J$69:BG$69,$J34:BG34)&lt;0.5, "Pending", IF(BG34&lt;0.5, "Complete", "In Progress"))</f>
        <v>#REF!</v>
      </c>
      <c r="BI34" s="22">
        <v>0</v>
      </c>
      <c r="BJ34" s="22" t="e">
        <f t="shared" si="41"/>
        <v>#REF!</v>
      </c>
      <c r="BK34" s="23" t="e">
        <f>IF(SUMPRODUCT($J$69:BJ$69,$J34:BJ34)&lt;0.5, "Pending", IF(BJ34&lt;0.5, "Complete", "In Progress"))</f>
        <v>#REF!</v>
      </c>
      <c r="BL34" s="22">
        <v>0</v>
      </c>
      <c r="BM34" s="22" t="e">
        <f t="shared" si="42"/>
        <v>#REF!</v>
      </c>
      <c r="BN34" s="23" t="e">
        <f>IF(SUMPRODUCT($J$69:BM$69,$J34:BM34)&lt;0.5, "Pending", IF(BM34&lt;0.5, "Complete", "In Progress"))</f>
        <v>#REF!</v>
      </c>
      <c r="BO34" s="22">
        <v>0</v>
      </c>
      <c r="BP34" s="22" t="e">
        <f t="shared" si="43"/>
        <v>#REF!</v>
      </c>
      <c r="BQ34" s="23" t="e">
        <f>IF(SUMPRODUCT($J$69:BP$69,$J34:BP34)&lt;0.5, "Pending", IF(BP34&lt;0.5, "Complete", "In Progress"))</f>
        <v>#REF!</v>
      </c>
      <c r="BR34" s="22">
        <v>0</v>
      </c>
      <c r="BS34" s="22" t="e">
        <f t="shared" si="44"/>
        <v>#REF!</v>
      </c>
      <c r="BT34" s="23" t="e">
        <f>IF(SUMPRODUCT($J$69:BS$69,$J34:BS34)&lt;0.5, "Pending", IF(BS34&lt;0.5, "Complete", "In Progress"))</f>
        <v>#REF!</v>
      </c>
      <c r="BU34" s="22">
        <v>0</v>
      </c>
      <c r="BV34" s="22" t="e">
        <f t="shared" si="45"/>
        <v>#REF!</v>
      </c>
      <c r="BW34" s="23" t="e">
        <f>IF(SUMPRODUCT($J$69:BV$69,$J34:BV34)&lt;0.5, "Pending", IF(BV34&lt;0.5, "Complete", "In Progress"))</f>
        <v>#REF!</v>
      </c>
      <c r="BX34" s="22">
        <v>0</v>
      </c>
      <c r="BY34" s="22" t="e">
        <f t="shared" si="46"/>
        <v>#REF!</v>
      </c>
      <c r="BZ34" s="23" t="e">
        <f>IF(SUMPRODUCT($J$69:BY$69,$J34:BY34)&lt;0.5, "Pending", IF(BY34&lt;0.5, "Complete", "In Progress"))</f>
        <v>#REF!</v>
      </c>
      <c r="CA34" s="22">
        <v>0</v>
      </c>
      <c r="CB34" s="22" t="e">
        <f t="shared" si="47"/>
        <v>#REF!</v>
      </c>
      <c r="CC34" s="23" t="e">
        <f>IF(SUMPRODUCT($J$69:CB$69,$J34:CB34)&lt;0.5, "Pending", IF(CB34&lt;0.5, "Complete", "In Progress"))</f>
        <v>#REF!</v>
      </c>
      <c r="CD34" s="24"/>
      <c r="CE34" s="25">
        <f>SUMPRODUCT($H$69:AY$69,$H34:AY34)</f>
        <v>0</v>
      </c>
    </row>
    <row r="35" spans="1:83" ht="12.75" hidden="1" customHeight="1" x14ac:dyDescent="0.2">
      <c r="A35" s="16"/>
      <c r="B35" s="16"/>
      <c r="C35" s="16"/>
      <c r="D35" s="17"/>
      <c r="E35" s="177"/>
      <c r="F35" s="18" t="s">
        <v>128</v>
      </c>
      <c r="G35" s="19" t="e">
        <f t="shared" ca="1" si="23"/>
        <v>#REF!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IF(SUMPRODUCT($J$69:K$69,$J35:K35)&lt;0.5,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IF(SUMPRODUCT($J$69:N$69,$J35:N35)&lt;0.5,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IF(SUMPRODUCT($J$69:Q$69,$J35:Q35)&lt;0.5,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IF(SUMPRODUCT($J$69:T$69,$J35:T35)&lt;0.5,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IF(SUMPRODUCT($J$69:W$69,$J35:W35)&lt;0.5,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IF(SUMPRODUCT($J$69:Z$69,$J35:Z35)&lt;0.5,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IF(SUMPRODUCT($J$69:AC$69,$J35:AC35)&lt;0.5,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IF(SUMPRODUCT($J$69:AF$69,$J35:AF35)&lt;0.5,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IF(SUMPRODUCT($J$69:AI$69,$J35:AI35)&lt;0.5,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IF(SUMPRODUCT($J$69:AL$69,$J35:AL35)&lt;0.5,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IF(SUMPRODUCT($J$69:AO$69,$J35:AO35)&lt;0.5,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IF(SUMPRODUCT($J$69:AR$69,$J35:AR35)&lt;0.5,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IF(SUMPRODUCT($J$69:AU$69,$J35:AU35)&lt;0.5,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IF(SUMPRODUCT($J$69:AX$69,$J35:AX35)&lt;0.5,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IF(SUMPRODUCT($J$69:BA$69,$J35:BA35)&lt;0.5, "Pending", IF(BA35&lt;0.5, "Complete", "In Progress"))</f>
        <v>#REF!</v>
      </c>
      <c r="BC35" s="22">
        <v>0</v>
      </c>
      <c r="BD35" s="22" t="e">
        <f t="shared" si="39"/>
        <v>#REF!</v>
      </c>
      <c r="BE35" s="23" t="e">
        <f>IF(SUMPRODUCT($J$69:BD$69,$J35:BD35)&lt;0.5, "Pending", IF(BD35&lt;0.5, "Complete", "In Progress"))</f>
        <v>#REF!</v>
      </c>
      <c r="BF35" s="22">
        <v>0</v>
      </c>
      <c r="BG35" s="22" t="e">
        <f t="shared" si="40"/>
        <v>#REF!</v>
      </c>
      <c r="BH35" s="23" t="e">
        <f>IF(SUMPRODUCT($J$69:BG$69,$J35:BG35)&lt;0.5, "Pending", IF(BG35&lt;0.5, "Complete", "In Progress"))</f>
        <v>#REF!</v>
      </c>
      <c r="BI35" s="22">
        <v>0</v>
      </c>
      <c r="BJ35" s="22" t="e">
        <f t="shared" si="41"/>
        <v>#REF!</v>
      </c>
      <c r="BK35" s="23" t="e">
        <f>IF(SUMPRODUCT($J$69:BJ$69,$J35:BJ35)&lt;0.5, "Pending", IF(BJ35&lt;0.5, "Complete", "In Progress"))</f>
        <v>#REF!</v>
      </c>
      <c r="BL35" s="22">
        <v>0</v>
      </c>
      <c r="BM35" s="22" t="e">
        <f t="shared" si="42"/>
        <v>#REF!</v>
      </c>
      <c r="BN35" s="23" t="e">
        <f>IF(SUMPRODUCT($J$69:BM$69,$J35:BM35)&lt;0.5, "Pending", IF(BM35&lt;0.5, "Complete", "In Progress"))</f>
        <v>#REF!</v>
      </c>
      <c r="BO35" s="22">
        <v>0</v>
      </c>
      <c r="BP35" s="22" t="e">
        <f t="shared" si="43"/>
        <v>#REF!</v>
      </c>
      <c r="BQ35" s="23" t="e">
        <f>IF(SUMPRODUCT($J$69:BP$69,$J35:BP35)&lt;0.5, "Pending", IF(BP35&lt;0.5, "Complete", "In Progress"))</f>
        <v>#REF!</v>
      </c>
      <c r="BR35" s="22">
        <v>0</v>
      </c>
      <c r="BS35" s="22" t="e">
        <f t="shared" si="44"/>
        <v>#REF!</v>
      </c>
      <c r="BT35" s="23" t="e">
        <f>IF(SUMPRODUCT($J$69:BS$69,$J35:BS35)&lt;0.5, "Pending", IF(BS35&lt;0.5, "Complete", "In Progress"))</f>
        <v>#REF!</v>
      </c>
      <c r="BU35" s="22">
        <v>0</v>
      </c>
      <c r="BV35" s="22" t="e">
        <f t="shared" si="45"/>
        <v>#REF!</v>
      </c>
      <c r="BW35" s="23" t="e">
        <f>IF(SUMPRODUCT($J$69:BV$69,$J35:BV35)&lt;0.5, "Pending", IF(BV35&lt;0.5, "Complete", "In Progress"))</f>
        <v>#REF!</v>
      </c>
      <c r="BX35" s="22">
        <v>0</v>
      </c>
      <c r="BY35" s="22" t="e">
        <f t="shared" si="46"/>
        <v>#REF!</v>
      </c>
      <c r="BZ35" s="23" t="e">
        <f>IF(SUMPRODUCT($J$69:BY$69,$J35:BY35)&lt;0.5, "Pending", IF(BY35&lt;0.5, "Complete", "In Progress"))</f>
        <v>#REF!</v>
      </c>
      <c r="CA35" s="22">
        <v>0</v>
      </c>
      <c r="CB35" s="22" t="e">
        <f t="shared" si="47"/>
        <v>#REF!</v>
      </c>
      <c r="CC35" s="23" t="e">
        <f>IF(SUMPRODUCT($J$69:CB$69,$J35:CB35)&lt;0.5, "Pending", IF(CB35&lt;0.5, "Complete", "In Progress"))</f>
        <v>#REF!</v>
      </c>
      <c r="CD35" s="24"/>
      <c r="CE35" s="25">
        <f>SUMPRODUCT($H$69:AY$69,$H35:AY35)</f>
        <v>0</v>
      </c>
    </row>
    <row r="36" spans="1:83" ht="12.75" hidden="1" customHeight="1" x14ac:dyDescent="0.2">
      <c r="A36" s="16"/>
      <c r="B36" s="16"/>
      <c r="C36" s="16"/>
      <c r="D36" s="17"/>
      <c r="E36" s="177"/>
      <c r="F36" s="18" t="s">
        <v>128</v>
      </c>
      <c r="G36" s="19" t="e">
        <f t="shared" ca="1" si="23"/>
        <v>#REF!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IF(SUMPRODUCT($J$69:K$69,$J36:K36)&lt;0.5,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IF(SUMPRODUCT($J$69:N$69,$J36:N36)&lt;0.5,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IF(SUMPRODUCT($J$69:Q$69,$J36:Q36)&lt;0.5,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IF(SUMPRODUCT($J$69:T$69,$J36:T36)&lt;0.5,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IF(SUMPRODUCT($J$69:W$69,$J36:W36)&lt;0.5,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IF(SUMPRODUCT($J$69:Z$69,$J36:Z36)&lt;0.5,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IF(SUMPRODUCT($J$69:AC$69,$J36:AC36)&lt;0.5,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IF(SUMPRODUCT($J$69:AF$69,$J36:AF36)&lt;0.5,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IF(SUMPRODUCT($J$69:AI$69,$J36:AI36)&lt;0.5,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IF(SUMPRODUCT($J$69:AL$69,$J36:AL36)&lt;0.5,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IF(SUMPRODUCT($J$69:AO$69,$J36:AO36)&lt;0.5,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IF(SUMPRODUCT($J$69:AR$69,$J36:AR36)&lt;0.5,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IF(SUMPRODUCT($J$69:AU$69,$J36:AU36)&lt;0.5,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IF(SUMPRODUCT($J$69:AX$69,$J36:AX36)&lt;0.5,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IF(SUMPRODUCT($J$69:BA$69,$J36:BA36)&lt;0.5, "Pending", IF(BA36&lt;0.5, "Complete", "In Progress"))</f>
        <v>#REF!</v>
      </c>
      <c r="BC36" s="22">
        <v>0</v>
      </c>
      <c r="BD36" s="22" t="e">
        <f t="shared" si="39"/>
        <v>#REF!</v>
      </c>
      <c r="BE36" s="23" t="e">
        <f>IF(SUMPRODUCT($J$69:BD$69,$J36:BD36)&lt;0.5, "Pending", IF(BD36&lt;0.5, "Complete", "In Progress"))</f>
        <v>#REF!</v>
      </c>
      <c r="BF36" s="22">
        <v>0</v>
      </c>
      <c r="BG36" s="22" t="e">
        <f t="shared" si="40"/>
        <v>#REF!</v>
      </c>
      <c r="BH36" s="23" t="e">
        <f>IF(SUMPRODUCT($J$69:BG$69,$J36:BG36)&lt;0.5, "Pending", IF(BG36&lt;0.5, "Complete", "In Progress"))</f>
        <v>#REF!</v>
      </c>
      <c r="BI36" s="22">
        <v>0</v>
      </c>
      <c r="BJ36" s="22" t="e">
        <f t="shared" si="41"/>
        <v>#REF!</v>
      </c>
      <c r="BK36" s="23" t="e">
        <f>IF(SUMPRODUCT($J$69:BJ$69,$J36:BJ36)&lt;0.5, "Pending", IF(BJ36&lt;0.5, "Complete", "In Progress"))</f>
        <v>#REF!</v>
      </c>
      <c r="BL36" s="22">
        <v>0</v>
      </c>
      <c r="BM36" s="22" t="e">
        <f t="shared" si="42"/>
        <v>#REF!</v>
      </c>
      <c r="BN36" s="23" t="e">
        <f>IF(SUMPRODUCT($J$69:BM$69,$J36:BM36)&lt;0.5, "Pending", IF(BM36&lt;0.5, "Complete", "In Progress"))</f>
        <v>#REF!</v>
      </c>
      <c r="BO36" s="22">
        <v>0</v>
      </c>
      <c r="BP36" s="22" t="e">
        <f t="shared" si="43"/>
        <v>#REF!</v>
      </c>
      <c r="BQ36" s="23" t="e">
        <f>IF(SUMPRODUCT($J$69:BP$69,$J36:BP36)&lt;0.5, "Pending", IF(BP36&lt;0.5, "Complete", "In Progress"))</f>
        <v>#REF!</v>
      </c>
      <c r="BR36" s="22">
        <v>0</v>
      </c>
      <c r="BS36" s="22" t="e">
        <f t="shared" si="44"/>
        <v>#REF!</v>
      </c>
      <c r="BT36" s="23" t="e">
        <f>IF(SUMPRODUCT($J$69:BS$69,$J36:BS36)&lt;0.5, "Pending", IF(BS36&lt;0.5, "Complete", "In Progress"))</f>
        <v>#REF!</v>
      </c>
      <c r="BU36" s="22">
        <v>0</v>
      </c>
      <c r="BV36" s="22" t="e">
        <f t="shared" si="45"/>
        <v>#REF!</v>
      </c>
      <c r="BW36" s="23" t="e">
        <f>IF(SUMPRODUCT($J$69:BV$69,$J36:BV36)&lt;0.5, "Pending", IF(BV36&lt;0.5, "Complete", "In Progress"))</f>
        <v>#REF!</v>
      </c>
      <c r="BX36" s="22">
        <v>0</v>
      </c>
      <c r="BY36" s="22" t="e">
        <f t="shared" si="46"/>
        <v>#REF!</v>
      </c>
      <c r="BZ36" s="23" t="e">
        <f>IF(SUMPRODUCT($J$69:BY$69,$J36:BY36)&lt;0.5, "Pending", IF(BY36&lt;0.5, "Complete", "In Progress"))</f>
        <v>#REF!</v>
      </c>
      <c r="CA36" s="22">
        <v>0</v>
      </c>
      <c r="CB36" s="22" t="e">
        <f t="shared" si="47"/>
        <v>#REF!</v>
      </c>
      <c r="CC36" s="23" t="e">
        <f>IF(SUMPRODUCT($J$69:CB$69,$J36:CB36)&lt;0.5, "Pending", IF(CB36&lt;0.5, "Complete", "In Progress"))</f>
        <v>#REF!</v>
      </c>
      <c r="CD36" s="24"/>
      <c r="CE36" s="25">
        <f>SUMPRODUCT($H$69:AY$69,$H36:AY36)</f>
        <v>0</v>
      </c>
    </row>
    <row r="37" spans="1:83" ht="12.75" hidden="1" customHeight="1" x14ac:dyDescent="0.2">
      <c r="A37" s="16"/>
      <c r="B37" s="16"/>
      <c r="C37" s="16"/>
      <c r="D37" s="17"/>
      <c r="E37" s="177"/>
      <c r="F37" s="18" t="s">
        <v>128</v>
      </c>
      <c r="G37" s="19" t="e">
        <f t="shared" ca="1" si="23"/>
        <v>#REF!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IF(SUMPRODUCT($J$69:K$69,$J37:K37)&lt;0.5,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IF(SUMPRODUCT($J$69:N$69,$J37:N37)&lt;0.5,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IF(SUMPRODUCT($J$69:Q$69,$J37:Q37)&lt;0.5,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IF(SUMPRODUCT($J$69:T$69,$J37:T37)&lt;0.5,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IF(SUMPRODUCT($J$69:W$69,$J37:W37)&lt;0.5,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IF(SUMPRODUCT($J$69:Z$69,$J37:Z37)&lt;0.5,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IF(SUMPRODUCT($J$69:AC$69,$J37:AC37)&lt;0.5,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IF(SUMPRODUCT($J$69:AF$69,$J37:AF37)&lt;0.5,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IF(SUMPRODUCT($J$69:AI$69,$J37:AI37)&lt;0.5,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IF(SUMPRODUCT($J$69:AL$69,$J37:AL37)&lt;0.5,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IF(SUMPRODUCT($J$69:AO$69,$J37:AO37)&lt;0.5,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IF(SUMPRODUCT($J$69:AR$69,$J37:AR37)&lt;0.5,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IF(SUMPRODUCT($J$69:AU$69,$J37:AU37)&lt;0.5,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IF(SUMPRODUCT($J$69:AX$69,$J37:AX37)&lt;0.5,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IF(SUMPRODUCT($J$69:BA$69,$J37:BA37)&lt;0.5, "Pending", IF(BA37&lt;0.5, "Complete", "In Progress"))</f>
        <v>#REF!</v>
      </c>
      <c r="BC37" s="22">
        <v>0</v>
      </c>
      <c r="BD37" s="22" t="e">
        <f t="shared" si="39"/>
        <v>#REF!</v>
      </c>
      <c r="BE37" s="23" t="e">
        <f>IF(SUMPRODUCT($J$69:BD$69,$J37:BD37)&lt;0.5, "Pending", IF(BD37&lt;0.5, "Complete", "In Progress"))</f>
        <v>#REF!</v>
      </c>
      <c r="BF37" s="22">
        <v>0</v>
      </c>
      <c r="BG37" s="22" t="e">
        <f t="shared" si="40"/>
        <v>#REF!</v>
      </c>
      <c r="BH37" s="23" t="e">
        <f>IF(SUMPRODUCT($J$69:BG$69,$J37:BG37)&lt;0.5, "Pending", IF(BG37&lt;0.5, "Complete", "In Progress"))</f>
        <v>#REF!</v>
      </c>
      <c r="BI37" s="22">
        <v>0</v>
      </c>
      <c r="BJ37" s="22" t="e">
        <f t="shared" si="41"/>
        <v>#REF!</v>
      </c>
      <c r="BK37" s="23" t="e">
        <f>IF(SUMPRODUCT($J$69:BJ$69,$J37:BJ37)&lt;0.5, "Pending", IF(BJ37&lt;0.5, "Complete", "In Progress"))</f>
        <v>#REF!</v>
      </c>
      <c r="BL37" s="22">
        <v>0</v>
      </c>
      <c r="BM37" s="22" t="e">
        <f t="shared" si="42"/>
        <v>#REF!</v>
      </c>
      <c r="BN37" s="23" t="e">
        <f>IF(SUMPRODUCT($J$69:BM$69,$J37:BM37)&lt;0.5, "Pending", IF(BM37&lt;0.5, "Complete", "In Progress"))</f>
        <v>#REF!</v>
      </c>
      <c r="BO37" s="22">
        <v>0</v>
      </c>
      <c r="BP37" s="22" t="e">
        <f t="shared" si="43"/>
        <v>#REF!</v>
      </c>
      <c r="BQ37" s="23" t="e">
        <f>IF(SUMPRODUCT($J$69:BP$69,$J37:BP37)&lt;0.5, "Pending", IF(BP37&lt;0.5, "Complete", "In Progress"))</f>
        <v>#REF!</v>
      </c>
      <c r="BR37" s="22">
        <v>0</v>
      </c>
      <c r="BS37" s="22" t="e">
        <f t="shared" si="44"/>
        <v>#REF!</v>
      </c>
      <c r="BT37" s="23" t="e">
        <f>IF(SUMPRODUCT($J$69:BS$69,$J37:BS37)&lt;0.5, "Pending", IF(BS37&lt;0.5, "Complete", "In Progress"))</f>
        <v>#REF!</v>
      </c>
      <c r="BU37" s="22">
        <v>0</v>
      </c>
      <c r="BV37" s="22" t="e">
        <f t="shared" si="45"/>
        <v>#REF!</v>
      </c>
      <c r="BW37" s="23" t="e">
        <f>IF(SUMPRODUCT($J$69:BV$69,$J37:BV37)&lt;0.5, "Pending", IF(BV37&lt;0.5, "Complete", "In Progress"))</f>
        <v>#REF!</v>
      </c>
      <c r="BX37" s="22">
        <v>0</v>
      </c>
      <c r="BY37" s="22" t="e">
        <f t="shared" si="46"/>
        <v>#REF!</v>
      </c>
      <c r="BZ37" s="23" t="e">
        <f>IF(SUMPRODUCT($J$69:BY$69,$J37:BY37)&lt;0.5, "Pending", IF(BY37&lt;0.5, "Complete", "In Progress"))</f>
        <v>#REF!</v>
      </c>
      <c r="CA37" s="22">
        <v>0</v>
      </c>
      <c r="CB37" s="22" t="e">
        <f t="shared" si="47"/>
        <v>#REF!</v>
      </c>
      <c r="CC37" s="23" t="e">
        <f>IF(SUMPRODUCT($J$69:CB$69,$J37:CB37)&lt;0.5, "Pending", IF(CB37&lt;0.5, "Complete", "In Progress"))</f>
        <v>#REF!</v>
      </c>
      <c r="CD37" s="24"/>
      <c r="CE37" s="25">
        <f>SUMPRODUCT($H$69:AY$69,$H37:AY37)</f>
        <v>0</v>
      </c>
    </row>
    <row r="38" spans="1:83" ht="12.75" hidden="1" customHeight="1" x14ac:dyDescent="0.2">
      <c r="A38" s="16"/>
      <c r="B38" s="16"/>
      <c r="C38" s="16"/>
      <c r="D38" s="17"/>
      <c r="E38" s="177"/>
      <c r="F38" s="18" t="s">
        <v>128</v>
      </c>
      <c r="G38" s="19" t="e">
        <f t="shared" ca="1" si="23"/>
        <v>#REF!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IF(SUMPRODUCT($J$69:K$69,$J38:K38)&lt;0.5,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IF(SUMPRODUCT($J$69:N$69,$J38:N38)&lt;0.5,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IF(SUMPRODUCT($J$69:Q$69,$J38:Q38)&lt;0.5,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IF(SUMPRODUCT($J$69:T$69,$J38:T38)&lt;0.5,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IF(SUMPRODUCT($J$69:W$69,$J38:W38)&lt;0.5,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IF(SUMPRODUCT($J$69:Z$69,$J38:Z38)&lt;0.5,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IF(SUMPRODUCT($J$69:AC$69,$J38:AC38)&lt;0.5,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IF(SUMPRODUCT($J$69:AF$69,$J38:AF38)&lt;0.5,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IF(SUMPRODUCT($J$69:AI$69,$J38:AI38)&lt;0.5,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IF(SUMPRODUCT($J$69:AL$69,$J38:AL38)&lt;0.5,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IF(SUMPRODUCT($J$69:AO$69,$J38:AO38)&lt;0.5,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IF(SUMPRODUCT($J$69:AR$69,$J38:AR38)&lt;0.5,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IF(SUMPRODUCT($J$69:AU$69,$J38:AU38)&lt;0.5,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IF(SUMPRODUCT($J$69:AX$69,$J38:AX38)&lt;0.5,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IF(SUMPRODUCT($J$69:BA$69,$J38:BA38)&lt;0.5, "Pending", IF(BA38&lt;0.5, "Complete", "In Progress"))</f>
        <v>#REF!</v>
      </c>
      <c r="BC38" s="22">
        <v>0</v>
      </c>
      <c r="BD38" s="22" t="e">
        <f t="shared" si="39"/>
        <v>#REF!</v>
      </c>
      <c r="BE38" s="23" t="e">
        <f>IF(SUMPRODUCT($J$69:BD$69,$J38:BD38)&lt;0.5, "Pending", IF(BD38&lt;0.5, "Complete", "In Progress"))</f>
        <v>#REF!</v>
      </c>
      <c r="BF38" s="22">
        <v>0</v>
      </c>
      <c r="BG38" s="22" t="e">
        <f t="shared" si="40"/>
        <v>#REF!</v>
      </c>
      <c r="BH38" s="23" t="e">
        <f>IF(SUMPRODUCT($J$69:BG$69,$J38:BG38)&lt;0.5, "Pending", IF(BG38&lt;0.5, "Complete", "In Progress"))</f>
        <v>#REF!</v>
      </c>
      <c r="BI38" s="22">
        <v>0</v>
      </c>
      <c r="BJ38" s="22" t="e">
        <f t="shared" si="41"/>
        <v>#REF!</v>
      </c>
      <c r="BK38" s="23" t="e">
        <f>IF(SUMPRODUCT($J$69:BJ$69,$J38:BJ38)&lt;0.5, "Pending", IF(BJ38&lt;0.5, "Complete", "In Progress"))</f>
        <v>#REF!</v>
      </c>
      <c r="BL38" s="22">
        <v>0</v>
      </c>
      <c r="BM38" s="22" t="e">
        <f t="shared" si="42"/>
        <v>#REF!</v>
      </c>
      <c r="BN38" s="23" t="e">
        <f>IF(SUMPRODUCT($J$69:BM$69,$J38:BM38)&lt;0.5, "Pending", IF(BM38&lt;0.5, "Complete", "In Progress"))</f>
        <v>#REF!</v>
      </c>
      <c r="BO38" s="22">
        <v>0</v>
      </c>
      <c r="BP38" s="22" t="e">
        <f t="shared" si="43"/>
        <v>#REF!</v>
      </c>
      <c r="BQ38" s="23" t="e">
        <f>IF(SUMPRODUCT($J$69:BP$69,$J38:BP38)&lt;0.5, "Pending", IF(BP38&lt;0.5, "Complete", "In Progress"))</f>
        <v>#REF!</v>
      </c>
      <c r="BR38" s="22">
        <v>0</v>
      </c>
      <c r="BS38" s="22" t="e">
        <f t="shared" si="44"/>
        <v>#REF!</v>
      </c>
      <c r="BT38" s="23" t="e">
        <f>IF(SUMPRODUCT($J$69:BS$69,$J38:BS38)&lt;0.5, "Pending", IF(BS38&lt;0.5, "Complete", "In Progress"))</f>
        <v>#REF!</v>
      </c>
      <c r="BU38" s="22">
        <v>0</v>
      </c>
      <c r="BV38" s="22" t="e">
        <f t="shared" si="45"/>
        <v>#REF!</v>
      </c>
      <c r="BW38" s="23" t="e">
        <f>IF(SUMPRODUCT($J$69:BV$69,$J38:BV38)&lt;0.5, "Pending", IF(BV38&lt;0.5, "Complete", "In Progress"))</f>
        <v>#REF!</v>
      </c>
      <c r="BX38" s="22">
        <v>0</v>
      </c>
      <c r="BY38" s="22" t="e">
        <f t="shared" si="46"/>
        <v>#REF!</v>
      </c>
      <c r="BZ38" s="23" t="e">
        <f>IF(SUMPRODUCT($J$69:BY$69,$J38:BY38)&lt;0.5, "Pending", IF(BY38&lt;0.5, "Complete", "In Progress"))</f>
        <v>#REF!</v>
      </c>
      <c r="CA38" s="22">
        <v>0</v>
      </c>
      <c r="CB38" s="22" t="e">
        <f t="shared" si="47"/>
        <v>#REF!</v>
      </c>
      <c r="CC38" s="23" t="e">
        <f>IF(SUMPRODUCT($J$69:CB$69,$J38:CB38)&lt;0.5, "Pending", IF(CB38&lt;0.5, "Complete", "In Progress"))</f>
        <v>#REF!</v>
      </c>
      <c r="CD38" s="24"/>
      <c r="CE38" s="25">
        <f>SUMPRODUCT($H$69:AY$69,$H38:AY38)</f>
        <v>0</v>
      </c>
    </row>
    <row r="39" spans="1:83" ht="12.75" hidden="1" customHeight="1" x14ac:dyDescent="0.2">
      <c r="A39" s="16"/>
      <c r="B39" s="16"/>
      <c r="C39" s="16"/>
      <c r="D39" s="17"/>
      <c r="E39" s="177"/>
      <c r="F39" s="18" t="s">
        <v>128</v>
      </c>
      <c r="G39" s="19" t="e">
        <f t="shared" ca="1" si="23"/>
        <v>#REF!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IF(SUMPRODUCT($J$69:K$69,$J39:K39)&lt;0.5,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IF(SUMPRODUCT($J$69:N$69,$J39:N39)&lt;0.5,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IF(SUMPRODUCT($J$69:Q$69,$J39:Q39)&lt;0.5,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IF(SUMPRODUCT($J$69:T$69,$J39:T39)&lt;0.5,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IF(SUMPRODUCT($J$69:W$69,$J39:W39)&lt;0.5,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IF(SUMPRODUCT($J$69:Z$69,$J39:Z39)&lt;0.5,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IF(SUMPRODUCT($J$69:AC$69,$J39:AC39)&lt;0.5,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IF(SUMPRODUCT($J$69:AF$69,$J39:AF39)&lt;0.5,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IF(SUMPRODUCT($J$69:AI$69,$J39:AI39)&lt;0.5,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IF(SUMPRODUCT($J$69:AL$69,$J39:AL39)&lt;0.5,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IF(SUMPRODUCT($J$69:AO$69,$J39:AO39)&lt;0.5,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IF(SUMPRODUCT($J$69:AR$69,$J39:AR39)&lt;0.5,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IF(SUMPRODUCT($J$69:AU$69,$J39:AU39)&lt;0.5,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IF(SUMPRODUCT($J$69:AX$69,$J39:AX39)&lt;0.5,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IF(SUMPRODUCT($J$69:BA$69,$J39:BA39)&lt;0.5, "Pending", IF(BA39&lt;0.5, "Complete", "In Progress"))</f>
        <v>#REF!</v>
      </c>
      <c r="BC39" s="22">
        <v>0</v>
      </c>
      <c r="BD39" s="22" t="e">
        <f t="shared" si="39"/>
        <v>#REF!</v>
      </c>
      <c r="BE39" s="23" t="e">
        <f>IF(SUMPRODUCT($J$69:BD$69,$J39:BD39)&lt;0.5, "Pending", IF(BD39&lt;0.5, "Complete", "In Progress"))</f>
        <v>#REF!</v>
      </c>
      <c r="BF39" s="22">
        <v>0</v>
      </c>
      <c r="BG39" s="22" t="e">
        <f t="shared" si="40"/>
        <v>#REF!</v>
      </c>
      <c r="BH39" s="23" t="e">
        <f>IF(SUMPRODUCT($J$69:BG$69,$J39:BG39)&lt;0.5, "Pending", IF(BG39&lt;0.5, "Complete", "In Progress"))</f>
        <v>#REF!</v>
      </c>
      <c r="BI39" s="22">
        <v>0</v>
      </c>
      <c r="BJ39" s="22" t="e">
        <f t="shared" si="41"/>
        <v>#REF!</v>
      </c>
      <c r="BK39" s="23" t="e">
        <f>IF(SUMPRODUCT($J$69:BJ$69,$J39:BJ39)&lt;0.5, "Pending", IF(BJ39&lt;0.5, "Complete", "In Progress"))</f>
        <v>#REF!</v>
      </c>
      <c r="BL39" s="22">
        <v>0</v>
      </c>
      <c r="BM39" s="22" t="e">
        <f t="shared" si="42"/>
        <v>#REF!</v>
      </c>
      <c r="BN39" s="23" t="e">
        <f>IF(SUMPRODUCT($J$69:BM$69,$J39:BM39)&lt;0.5, "Pending", IF(BM39&lt;0.5, "Complete", "In Progress"))</f>
        <v>#REF!</v>
      </c>
      <c r="BO39" s="22">
        <v>0</v>
      </c>
      <c r="BP39" s="22" t="e">
        <f t="shared" si="43"/>
        <v>#REF!</v>
      </c>
      <c r="BQ39" s="23" t="e">
        <f>IF(SUMPRODUCT($J$69:BP$69,$J39:BP39)&lt;0.5, "Pending", IF(BP39&lt;0.5, "Complete", "In Progress"))</f>
        <v>#REF!</v>
      </c>
      <c r="BR39" s="22">
        <v>0</v>
      </c>
      <c r="BS39" s="22" t="e">
        <f t="shared" si="44"/>
        <v>#REF!</v>
      </c>
      <c r="BT39" s="23" t="e">
        <f>IF(SUMPRODUCT($J$69:BS$69,$J39:BS39)&lt;0.5, "Pending", IF(BS39&lt;0.5, "Complete", "In Progress"))</f>
        <v>#REF!</v>
      </c>
      <c r="BU39" s="22">
        <v>0</v>
      </c>
      <c r="BV39" s="22" t="e">
        <f t="shared" si="45"/>
        <v>#REF!</v>
      </c>
      <c r="BW39" s="23" t="e">
        <f>IF(SUMPRODUCT($J$69:BV$69,$J39:BV39)&lt;0.5, "Pending", IF(BV39&lt;0.5, "Complete", "In Progress"))</f>
        <v>#REF!</v>
      </c>
      <c r="BX39" s="22">
        <v>0</v>
      </c>
      <c r="BY39" s="22" t="e">
        <f t="shared" si="46"/>
        <v>#REF!</v>
      </c>
      <c r="BZ39" s="23" t="e">
        <f>IF(SUMPRODUCT($J$69:BY$69,$J39:BY39)&lt;0.5, "Pending", IF(BY39&lt;0.5, "Complete", "In Progress"))</f>
        <v>#REF!</v>
      </c>
      <c r="CA39" s="22">
        <v>0</v>
      </c>
      <c r="CB39" s="22" t="e">
        <f t="shared" si="47"/>
        <v>#REF!</v>
      </c>
      <c r="CC39" s="23" t="e">
        <f>IF(SUMPRODUCT($J$69:CB$69,$J39:CB39)&lt;0.5, "Pending", IF(CB39&lt;0.5, "Complete", "In Progress"))</f>
        <v>#REF!</v>
      </c>
      <c r="CD39" s="24"/>
      <c r="CE39" s="25">
        <f>SUMPRODUCT($H$69:AY$69,$H39:AY39)</f>
        <v>0</v>
      </c>
    </row>
    <row r="40" spans="1:83" ht="12.75" hidden="1" customHeight="1" x14ac:dyDescent="0.2">
      <c r="A40" s="16"/>
      <c r="B40" s="16"/>
      <c r="C40" s="16"/>
      <c r="D40" s="17"/>
      <c r="E40" s="177"/>
      <c r="F40" s="18" t="s">
        <v>128</v>
      </c>
      <c r="G40" s="19" t="e">
        <f t="shared" ca="1" si="23"/>
        <v>#REF!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IF(SUMPRODUCT($J$69:K$69,$J40:K40)&lt;0.5,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IF(SUMPRODUCT($J$69:N$69,$J40:N40)&lt;0.5,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IF(SUMPRODUCT($J$69:Q$69,$J40:Q40)&lt;0.5,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IF(SUMPRODUCT($J$69:T$69,$J40:T40)&lt;0.5,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IF(SUMPRODUCT($J$69:W$69,$J40:W40)&lt;0.5,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IF(SUMPRODUCT($J$69:Z$69,$J40:Z40)&lt;0.5,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IF(SUMPRODUCT($J$69:AC$69,$J40:AC40)&lt;0.5,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IF(SUMPRODUCT($J$69:AF$69,$J40:AF40)&lt;0.5,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IF(SUMPRODUCT($J$69:AI$69,$J40:AI40)&lt;0.5,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IF(SUMPRODUCT($J$69:AL$69,$J40:AL40)&lt;0.5,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IF(SUMPRODUCT($J$69:AO$69,$J40:AO40)&lt;0.5,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IF(SUMPRODUCT($J$69:AR$69,$J40:AR40)&lt;0.5,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IF(SUMPRODUCT($J$69:AU$69,$J40:AU40)&lt;0.5,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IF(SUMPRODUCT($J$69:AX$69,$J40:AX40)&lt;0.5,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IF(SUMPRODUCT($J$69:BA$69,$J40:BA40)&lt;0.5, "Pending", IF(BA40&lt;0.5, "Complete", "In Progress"))</f>
        <v>#REF!</v>
      </c>
      <c r="BC40" s="22">
        <v>0</v>
      </c>
      <c r="BD40" s="22" t="e">
        <f t="shared" si="39"/>
        <v>#REF!</v>
      </c>
      <c r="BE40" s="23" t="e">
        <f>IF(SUMPRODUCT($J$69:BD$69,$J40:BD40)&lt;0.5, "Pending", IF(BD40&lt;0.5, "Complete", "In Progress"))</f>
        <v>#REF!</v>
      </c>
      <c r="BF40" s="22">
        <v>0</v>
      </c>
      <c r="BG40" s="22" t="e">
        <f t="shared" si="40"/>
        <v>#REF!</v>
      </c>
      <c r="BH40" s="23" t="e">
        <f>IF(SUMPRODUCT($J$69:BG$69,$J40:BG40)&lt;0.5, "Pending", IF(BG40&lt;0.5, "Complete", "In Progress"))</f>
        <v>#REF!</v>
      </c>
      <c r="BI40" s="22">
        <v>0</v>
      </c>
      <c r="BJ40" s="22" t="e">
        <f t="shared" si="41"/>
        <v>#REF!</v>
      </c>
      <c r="BK40" s="23" t="e">
        <f>IF(SUMPRODUCT($J$69:BJ$69,$J40:BJ40)&lt;0.5, "Pending", IF(BJ40&lt;0.5, "Complete", "In Progress"))</f>
        <v>#REF!</v>
      </c>
      <c r="BL40" s="22">
        <v>0</v>
      </c>
      <c r="BM40" s="22" t="e">
        <f t="shared" si="42"/>
        <v>#REF!</v>
      </c>
      <c r="BN40" s="23" t="e">
        <f>IF(SUMPRODUCT($J$69:BM$69,$J40:BM40)&lt;0.5, "Pending", IF(BM40&lt;0.5, "Complete", "In Progress"))</f>
        <v>#REF!</v>
      </c>
      <c r="BO40" s="22">
        <v>0</v>
      </c>
      <c r="BP40" s="22" t="e">
        <f t="shared" si="43"/>
        <v>#REF!</v>
      </c>
      <c r="BQ40" s="23" t="e">
        <f>IF(SUMPRODUCT($J$69:BP$69,$J40:BP40)&lt;0.5, "Pending", IF(BP40&lt;0.5, "Complete", "In Progress"))</f>
        <v>#REF!</v>
      </c>
      <c r="BR40" s="22">
        <v>0</v>
      </c>
      <c r="BS40" s="22" t="e">
        <f t="shared" si="44"/>
        <v>#REF!</v>
      </c>
      <c r="BT40" s="23" t="e">
        <f>IF(SUMPRODUCT($J$69:BS$69,$J40:BS40)&lt;0.5, "Pending", IF(BS40&lt;0.5, "Complete", "In Progress"))</f>
        <v>#REF!</v>
      </c>
      <c r="BU40" s="22">
        <v>0</v>
      </c>
      <c r="BV40" s="22" t="e">
        <f t="shared" si="45"/>
        <v>#REF!</v>
      </c>
      <c r="BW40" s="23" t="e">
        <f>IF(SUMPRODUCT($J$69:BV$69,$J40:BV40)&lt;0.5, "Pending", IF(BV40&lt;0.5, "Complete", "In Progress"))</f>
        <v>#REF!</v>
      </c>
      <c r="BX40" s="22">
        <v>0</v>
      </c>
      <c r="BY40" s="22" t="e">
        <f t="shared" si="46"/>
        <v>#REF!</v>
      </c>
      <c r="BZ40" s="23" t="e">
        <f>IF(SUMPRODUCT($J$69:BY$69,$J40:BY40)&lt;0.5, "Pending", IF(BY40&lt;0.5, "Complete", "In Progress"))</f>
        <v>#REF!</v>
      </c>
      <c r="CA40" s="22">
        <v>0</v>
      </c>
      <c r="CB40" s="22" t="e">
        <f t="shared" si="47"/>
        <v>#REF!</v>
      </c>
      <c r="CC40" s="23" t="e">
        <f>IF(SUMPRODUCT($J$69:CB$69,$J40:CB40)&lt;0.5, "Pending", IF(CB40&lt;0.5, "Complete", "In Progress"))</f>
        <v>#REF!</v>
      </c>
      <c r="CD40" s="24"/>
      <c r="CE40" s="25">
        <f>SUMPRODUCT($H$69:AY$69,$H40:AY40)</f>
        <v>0</v>
      </c>
    </row>
    <row r="41" spans="1:83" ht="12.75" hidden="1" customHeight="1" x14ac:dyDescent="0.2">
      <c r="A41" s="16"/>
      <c r="B41" s="16"/>
      <c r="C41" s="16"/>
      <c r="D41" s="17"/>
      <c r="E41" s="177"/>
      <c r="F41" s="18" t="s">
        <v>128</v>
      </c>
      <c r="G41" s="19" t="e">
        <f t="shared" ca="1" si="23"/>
        <v>#REF!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IF(SUMPRODUCT($J$69:K$69,$J41:K41)&lt;0.5,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IF(SUMPRODUCT($J$69:N$69,$J41:N41)&lt;0.5,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IF(SUMPRODUCT($J$69:Q$69,$J41:Q41)&lt;0.5,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IF(SUMPRODUCT($J$69:T$69,$J41:T41)&lt;0.5,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IF(SUMPRODUCT($J$69:W$69,$J41:W41)&lt;0.5,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IF(SUMPRODUCT($J$69:Z$69,$J41:Z41)&lt;0.5,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IF(SUMPRODUCT($J$69:AC$69,$J41:AC41)&lt;0.5,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IF(SUMPRODUCT($J$69:AF$69,$J41:AF41)&lt;0.5,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IF(SUMPRODUCT($J$69:AI$69,$J41:AI41)&lt;0.5,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IF(SUMPRODUCT($J$69:AL$69,$J41:AL41)&lt;0.5,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IF(SUMPRODUCT($J$69:AO$69,$J41:AO41)&lt;0.5,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IF(SUMPRODUCT($J$69:AR$69,$J41:AR41)&lt;0.5,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IF(SUMPRODUCT($J$69:AU$69,$J41:AU41)&lt;0.5,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IF(SUMPRODUCT($J$69:AX$69,$J41:AX41)&lt;0.5,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IF(SUMPRODUCT($J$69:BA$69,$J41:BA41)&lt;0.5, "Pending", IF(BA41&lt;0.5, "Complete", "In Progress"))</f>
        <v>#REF!</v>
      </c>
      <c r="BC41" s="22">
        <v>0</v>
      </c>
      <c r="BD41" s="22" t="e">
        <f t="shared" si="39"/>
        <v>#REF!</v>
      </c>
      <c r="BE41" s="23" t="e">
        <f>IF(SUMPRODUCT($J$69:BD$69,$J41:BD41)&lt;0.5, "Pending", IF(BD41&lt;0.5, "Complete", "In Progress"))</f>
        <v>#REF!</v>
      </c>
      <c r="BF41" s="22">
        <v>0</v>
      </c>
      <c r="BG41" s="22" t="e">
        <f t="shared" si="40"/>
        <v>#REF!</v>
      </c>
      <c r="BH41" s="23" t="e">
        <f>IF(SUMPRODUCT($J$69:BG$69,$J41:BG41)&lt;0.5, "Pending", IF(BG41&lt;0.5, "Complete", "In Progress"))</f>
        <v>#REF!</v>
      </c>
      <c r="BI41" s="22">
        <v>0</v>
      </c>
      <c r="BJ41" s="22" t="e">
        <f t="shared" si="41"/>
        <v>#REF!</v>
      </c>
      <c r="BK41" s="23" t="e">
        <f>IF(SUMPRODUCT($J$69:BJ$69,$J41:BJ41)&lt;0.5, "Pending", IF(BJ41&lt;0.5, "Complete", "In Progress"))</f>
        <v>#REF!</v>
      </c>
      <c r="BL41" s="22">
        <v>0</v>
      </c>
      <c r="BM41" s="22" t="e">
        <f t="shared" si="42"/>
        <v>#REF!</v>
      </c>
      <c r="BN41" s="23" t="e">
        <f>IF(SUMPRODUCT($J$69:BM$69,$J41:BM41)&lt;0.5, "Pending", IF(BM41&lt;0.5, "Complete", "In Progress"))</f>
        <v>#REF!</v>
      </c>
      <c r="BO41" s="22">
        <v>0</v>
      </c>
      <c r="BP41" s="22" t="e">
        <f t="shared" si="43"/>
        <v>#REF!</v>
      </c>
      <c r="BQ41" s="23" t="e">
        <f>IF(SUMPRODUCT($J$69:BP$69,$J41:BP41)&lt;0.5, "Pending", IF(BP41&lt;0.5, "Complete", "In Progress"))</f>
        <v>#REF!</v>
      </c>
      <c r="BR41" s="22">
        <v>0</v>
      </c>
      <c r="BS41" s="22" t="e">
        <f t="shared" si="44"/>
        <v>#REF!</v>
      </c>
      <c r="BT41" s="23" t="e">
        <f>IF(SUMPRODUCT($J$69:BS$69,$J41:BS41)&lt;0.5, "Pending", IF(BS41&lt;0.5, "Complete", "In Progress"))</f>
        <v>#REF!</v>
      </c>
      <c r="BU41" s="22">
        <v>0</v>
      </c>
      <c r="BV41" s="22" t="e">
        <f t="shared" si="45"/>
        <v>#REF!</v>
      </c>
      <c r="BW41" s="23" t="e">
        <f>IF(SUMPRODUCT($J$69:BV$69,$J41:BV41)&lt;0.5, "Pending", IF(BV41&lt;0.5, "Complete", "In Progress"))</f>
        <v>#REF!</v>
      </c>
      <c r="BX41" s="22">
        <v>0</v>
      </c>
      <c r="BY41" s="22" t="e">
        <f t="shared" si="46"/>
        <v>#REF!</v>
      </c>
      <c r="BZ41" s="23" t="e">
        <f>IF(SUMPRODUCT($J$69:BY$69,$J41:BY41)&lt;0.5, "Pending", IF(BY41&lt;0.5, "Complete", "In Progress"))</f>
        <v>#REF!</v>
      </c>
      <c r="CA41" s="22">
        <v>0</v>
      </c>
      <c r="CB41" s="22" t="e">
        <f t="shared" si="47"/>
        <v>#REF!</v>
      </c>
      <c r="CC41" s="23" t="e">
        <f>IF(SUMPRODUCT($J$69:CB$69,$J41:CB41)&lt;0.5, "Pending", IF(CB41&lt;0.5, "Complete", "In Progress"))</f>
        <v>#REF!</v>
      </c>
      <c r="CD41" s="24"/>
      <c r="CE41" s="25">
        <f>SUMPRODUCT($H$69:AY$69,$H41:AY41)</f>
        <v>0</v>
      </c>
    </row>
    <row r="42" spans="1:83" ht="12.75" hidden="1" customHeight="1" x14ac:dyDescent="0.2">
      <c r="A42" s="16"/>
      <c r="B42" s="16"/>
      <c r="C42" s="16"/>
      <c r="D42" s="17"/>
      <c r="E42" s="177"/>
      <c r="F42" s="18" t="s">
        <v>128</v>
      </c>
      <c r="G42" s="19" t="e">
        <f t="shared" ca="1" si="23"/>
        <v>#REF!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IF(SUMPRODUCT($J$69:K$69,$J42:K42)&lt;0.5,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IF(SUMPRODUCT($J$69:N$69,$J42:N42)&lt;0.5,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IF(SUMPRODUCT($J$69:Q$69,$J42:Q42)&lt;0.5,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IF(SUMPRODUCT($J$69:T$69,$J42:T42)&lt;0.5,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IF(SUMPRODUCT($J$69:W$69,$J42:W42)&lt;0.5,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IF(SUMPRODUCT($J$69:Z$69,$J42:Z42)&lt;0.5,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IF(SUMPRODUCT($J$69:AC$69,$J42:AC42)&lt;0.5,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IF(SUMPRODUCT($J$69:AF$69,$J42:AF42)&lt;0.5,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IF(SUMPRODUCT($J$69:AI$69,$J42:AI42)&lt;0.5,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IF(SUMPRODUCT($J$69:AL$69,$J42:AL42)&lt;0.5,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IF(SUMPRODUCT($J$69:AO$69,$J42:AO42)&lt;0.5,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IF(SUMPRODUCT($J$69:AR$69,$J42:AR42)&lt;0.5,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IF(SUMPRODUCT($J$69:AU$69,$J42:AU42)&lt;0.5,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IF(SUMPRODUCT($J$69:AX$69,$J42:AX42)&lt;0.5,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IF(SUMPRODUCT($J$69:BA$69,$J42:BA42)&lt;0.5, "Pending", IF(BA42&lt;0.5, "Complete", "In Progress"))</f>
        <v>#REF!</v>
      </c>
      <c r="BC42" s="22">
        <v>0</v>
      </c>
      <c r="BD42" s="22" t="e">
        <f t="shared" si="39"/>
        <v>#REF!</v>
      </c>
      <c r="BE42" s="23" t="e">
        <f>IF(SUMPRODUCT($J$69:BD$69,$J42:BD42)&lt;0.5, "Pending", IF(BD42&lt;0.5, "Complete", "In Progress"))</f>
        <v>#REF!</v>
      </c>
      <c r="BF42" s="22">
        <v>0</v>
      </c>
      <c r="BG42" s="22" t="e">
        <f t="shared" si="40"/>
        <v>#REF!</v>
      </c>
      <c r="BH42" s="23" t="e">
        <f>IF(SUMPRODUCT($J$69:BG$69,$J42:BG42)&lt;0.5, "Pending", IF(BG42&lt;0.5, "Complete", "In Progress"))</f>
        <v>#REF!</v>
      </c>
      <c r="BI42" s="22">
        <v>0</v>
      </c>
      <c r="BJ42" s="22" t="e">
        <f t="shared" si="41"/>
        <v>#REF!</v>
      </c>
      <c r="BK42" s="23" t="e">
        <f>IF(SUMPRODUCT($J$69:BJ$69,$J42:BJ42)&lt;0.5, "Pending", IF(BJ42&lt;0.5, "Complete", "In Progress"))</f>
        <v>#REF!</v>
      </c>
      <c r="BL42" s="22">
        <v>0</v>
      </c>
      <c r="BM42" s="22" t="e">
        <f t="shared" si="42"/>
        <v>#REF!</v>
      </c>
      <c r="BN42" s="23" t="e">
        <f>IF(SUMPRODUCT($J$69:BM$69,$J42:BM42)&lt;0.5, "Pending", IF(BM42&lt;0.5, "Complete", "In Progress"))</f>
        <v>#REF!</v>
      </c>
      <c r="BO42" s="22">
        <v>0</v>
      </c>
      <c r="BP42" s="22" t="e">
        <f t="shared" si="43"/>
        <v>#REF!</v>
      </c>
      <c r="BQ42" s="23" t="e">
        <f>IF(SUMPRODUCT($J$69:BP$69,$J42:BP42)&lt;0.5, "Pending", IF(BP42&lt;0.5, "Complete", "In Progress"))</f>
        <v>#REF!</v>
      </c>
      <c r="BR42" s="22">
        <v>0</v>
      </c>
      <c r="BS42" s="22" t="e">
        <f t="shared" si="44"/>
        <v>#REF!</v>
      </c>
      <c r="BT42" s="23" t="e">
        <f>IF(SUMPRODUCT($J$69:BS$69,$J42:BS42)&lt;0.5, "Pending", IF(BS42&lt;0.5, "Complete", "In Progress"))</f>
        <v>#REF!</v>
      </c>
      <c r="BU42" s="22">
        <v>0</v>
      </c>
      <c r="BV42" s="22" t="e">
        <f t="shared" si="45"/>
        <v>#REF!</v>
      </c>
      <c r="BW42" s="23" t="e">
        <f>IF(SUMPRODUCT($J$69:BV$69,$J42:BV42)&lt;0.5, "Pending", IF(BV42&lt;0.5, "Complete", "In Progress"))</f>
        <v>#REF!</v>
      </c>
      <c r="BX42" s="22">
        <v>0</v>
      </c>
      <c r="BY42" s="22" t="e">
        <f t="shared" si="46"/>
        <v>#REF!</v>
      </c>
      <c r="BZ42" s="23" t="e">
        <f>IF(SUMPRODUCT($J$69:BY$69,$J42:BY42)&lt;0.5, "Pending", IF(BY42&lt;0.5, "Complete", "In Progress"))</f>
        <v>#REF!</v>
      </c>
      <c r="CA42" s="22">
        <v>0</v>
      </c>
      <c r="CB42" s="22" t="e">
        <f t="shared" si="47"/>
        <v>#REF!</v>
      </c>
      <c r="CC42" s="23" t="e">
        <f>IF(SUMPRODUCT($J$69:CB$69,$J42:CB42)&lt;0.5, "Pending", IF(CB42&lt;0.5, "Complete", "In Progress"))</f>
        <v>#REF!</v>
      </c>
      <c r="CD42" s="24"/>
      <c r="CE42" s="25">
        <f>SUMPRODUCT($H$69:AY$69,$H42:AY42)</f>
        <v>0</v>
      </c>
    </row>
    <row r="43" spans="1:83" ht="12.75" hidden="1" customHeight="1" x14ac:dyDescent="0.2">
      <c r="A43" s="16"/>
      <c r="B43" s="16"/>
      <c r="C43" s="16"/>
      <c r="D43" s="17"/>
      <c r="E43" s="177"/>
      <c r="F43" s="18" t="s">
        <v>128</v>
      </c>
      <c r="G43" s="19" t="e">
        <f t="shared" ca="1" si="23"/>
        <v>#REF!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IF(SUMPRODUCT($J$69:K$69,$J43:K43)&lt;0.5,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IF(SUMPRODUCT($J$69:N$69,$J43:N43)&lt;0.5,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IF(SUMPRODUCT($J$69:Q$69,$J43:Q43)&lt;0.5,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IF(SUMPRODUCT($J$69:T$69,$J43:T43)&lt;0.5,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IF(SUMPRODUCT($J$69:W$69,$J43:W43)&lt;0.5,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IF(SUMPRODUCT($J$69:Z$69,$J43:Z43)&lt;0.5,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IF(SUMPRODUCT($J$69:AC$69,$J43:AC43)&lt;0.5,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IF(SUMPRODUCT($J$69:AF$69,$J43:AF43)&lt;0.5,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IF(SUMPRODUCT($J$69:AI$69,$J43:AI43)&lt;0.5,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IF(SUMPRODUCT($J$69:AL$69,$J43:AL43)&lt;0.5,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IF(SUMPRODUCT($J$69:AO$69,$J43:AO43)&lt;0.5,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IF(SUMPRODUCT($J$69:AR$69,$J43:AR43)&lt;0.5,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IF(SUMPRODUCT($J$69:AU$69,$J43:AU43)&lt;0.5,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IF(SUMPRODUCT($J$69:AX$69,$J43:AX43)&lt;0.5,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IF(SUMPRODUCT($J$69:BA$69,$J43:BA43)&lt;0.5, "Pending", IF(BA43&lt;0.5, "Complete", "In Progress"))</f>
        <v>#REF!</v>
      </c>
      <c r="BC43" s="22">
        <v>0</v>
      </c>
      <c r="BD43" s="22" t="e">
        <f t="shared" si="39"/>
        <v>#REF!</v>
      </c>
      <c r="BE43" s="23" t="e">
        <f>IF(SUMPRODUCT($J$69:BD$69,$J43:BD43)&lt;0.5, "Pending", IF(BD43&lt;0.5, "Complete", "In Progress"))</f>
        <v>#REF!</v>
      </c>
      <c r="BF43" s="22">
        <v>0</v>
      </c>
      <c r="BG43" s="22" t="e">
        <f t="shared" si="40"/>
        <v>#REF!</v>
      </c>
      <c r="BH43" s="23" t="e">
        <f>IF(SUMPRODUCT($J$69:BG$69,$J43:BG43)&lt;0.5, "Pending", IF(BG43&lt;0.5, "Complete", "In Progress"))</f>
        <v>#REF!</v>
      </c>
      <c r="BI43" s="22">
        <v>0</v>
      </c>
      <c r="BJ43" s="22" t="e">
        <f t="shared" si="41"/>
        <v>#REF!</v>
      </c>
      <c r="BK43" s="23" t="e">
        <f>IF(SUMPRODUCT($J$69:BJ$69,$J43:BJ43)&lt;0.5, "Pending", IF(BJ43&lt;0.5, "Complete", "In Progress"))</f>
        <v>#REF!</v>
      </c>
      <c r="BL43" s="22">
        <v>0</v>
      </c>
      <c r="BM43" s="22" t="e">
        <f t="shared" si="42"/>
        <v>#REF!</v>
      </c>
      <c r="BN43" s="23" t="e">
        <f>IF(SUMPRODUCT($J$69:BM$69,$J43:BM43)&lt;0.5, "Pending", IF(BM43&lt;0.5, "Complete", "In Progress"))</f>
        <v>#REF!</v>
      </c>
      <c r="BO43" s="22">
        <v>0</v>
      </c>
      <c r="BP43" s="22" t="e">
        <f t="shared" si="43"/>
        <v>#REF!</v>
      </c>
      <c r="BQ43" s="23" t="e">
        <f>IF(SUMPRODUCT($J$69:BP$69,$J43:BP43)&lt;0.5, "Pending", IF(BP43&lt;0.5, "Complete", "In Progress"))</f>
        <v>#REF!</v>
      </c>
      <c r="BR43" s="22">
        <v>0</v>
      </c>
      <c r="BS43" s="22" t="e">
        <f t="shared" si="44"/>
        <v>#REF!</v>
      </c>
      <c r="BT43" s="23" t="e">
        <f>IF(SUMPRODUCT($J$69:BS$69,$J43:BS43)&lt;0.5, "Pending", IF(BS43&lt;0.5, "Complete", "In Progress"))</f>
        <v>#REF!</v>
      </c>
      <c r="BU43" s="22">
        <v>0</v>
      </c>
      <c r="BV43" s="22" t="e">
        <f t="shared" si="45"/>
        <v>#REF!</v>
      </c>
      <c r="BW43" s="23" t="e">
        <f>IF(SUMPRODUCT($J$69:BV$69,$J43:BV43)&lt;0.5, "Pending", IF(BV43&lt;0.5, "Complete", "In Progress"))</f>
        <v>#REF!</v>
      </c>
      <c r="BX43" s="22">
        <v>0</v>
      </c>
      <c r="BY43" s="22" t="e">
        <f t="shared" si="46"/>
        <v>#REF!</v>
      </c>
      <c r="BZ43" s="23" t="e">
        <f>IF(SUMPRODUCT($J$69:BY$69,$J43:BY43)&lt;0.5, "Pending", IF(BY43&lt;0.5, "Complete", "In Progress"))</f>
        <v>#REF!</v>
      </c>
      <c r="CA43" s="22">
        <v>0</v>
      </c>
      <c r="CB43" s="22" t="e">
        <f t="shared" si="47"/>
        <v>#REF!</v>
      </c>
      <c r="CC43" s="23" t="e">
        <f>IF(SUMPRODUCT($J$69:CB$69,$J43:CB43)&lt;0.5, "Pending", IF(CB43&lt;0.5, "Complete", "In Progress"))</f>
        <v>#REF!</v>
      </c>
      <c r="CD43" s="24"/>
      <c r="CE43" s="25">
        <f>SUMPRODUCT($H$69:AY$69,$H43:AY43)</f>
        <v>0</v>
      </c>
    </row>
    <row r="44" spans="1:83" ht="12.75" hidden="1" customHeight="1" x14ac:dyDescent="0.2">
      <c r="A44" s="16"/>
      <c r="B44" s="16"/>
      <c r="C44" s="16"/>
      <c r="D44" s="17"/>
      <c r="E44" s="177"/>
      <c r="F44" s="18" t="s">
        <v>128</v>
      </c>
      <c r="G44" s="19" t="e">
        <f t="shared" ca="1" si="23"/>
        <v>#REF!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IF(SUMPRODUCT($J$69:K$69,$J44:K44)&lt;0.5,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IF(SUMPRODUCT($J$69:N$69,$J44:N44)&lt;0.5,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IF(SUMPRODUCT($J$69:Q$69,$J44:Q44)&lt;0.5,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IF(SUMPRODUCT($J$69:T$69,$J44:T44)&lt;0.5,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IF(SUMPRODUCT($J$69:W$69,$J44:W44)&lt;0.5,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IF(SUMPRODUCT($J$69:Z$69,$J44:Z44)&lt;0.5,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IF(SUMPRODUCT($J$69:AC$69,$J44:AC44)&lt;0.5,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IF(SUMPRODUCT($J$69:AF$69,$J44:AF44)&lt;0.5,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IF(SUMPRODUCT($J$69:AI$69,$J44:AI44)&lt;0.5,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IF(SUMPRODUCT($J$69:AL$69,$J44:AL44)&lt;0.5,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IF(SUMPRODUCT($J$69:AO$69,$J44:AO44)&lt;0.5,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IF(SUMPRODUCT($J$69:AR$69,$J44:AR44)&lt;0.5,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IF(SUMPRODUCT($J$69:AU$69,$J44:AU44)&lt;0.5,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IF(SUMPRODUCT($J$69:AX$69,$J44:AX44)&lt;0.5,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IF(SUMPRODUCT($J$69:BA$69,$J44:BA44)&lt;0.5, "Pending", IF(BA44&lt;0.5, "Complete", "In Progress"))</f>
        <v>#REF!</v>
      </c>
      <c r="BC44" s="22">
        <v>0</v>
      </c>
      <c r="BD44" s="22" t="e">
        <f t="shared" si="39"/>
        <v>#REF!</v>
      </c>
      <c r="BE44" s="23" t="e">
        <f>IF(SUMPRODUCT($J$69:BD$69,$J44:BD44)&lt;0.5, "Pending", IF(BD44&lt;0.5, "Complete", "In Progress"))</f>
        <v>#REF!</v>
      </c>
      <c r="BF44" s="22">
        <v>0</v>
      </c>
      <c r="BG44" s="22" t="e">
        <f t="shared" si="40"/>
        <v>#REF!</v>
      </c>
      <c r="BH44" s="23" t="e">
        <f>IF(SUMPRODUCT($J$69:BG$69,$J44:BG44)&lt;0.5, "Pending", IF(BG44&lt;0.5, "Complete", "In Progress"))</f>
        <v>#REF!</v>
      </c>
      <c r="BI44" s="22">
        <v>0</v>
      </c>
      <c r="BJ44" s="22" t="e">
        <f t="shared" si="41"/>
        <v>#REF!</v>
      </c>
      <c r="BK44" s="23" t="e">
        <f>IF(SUMPRODUCT($J$69:BJ$69,$J44:BJ44)&lt;0.5, "Pending", IF(BJ44&lt;0.5, "Complete", "In Progress"))</f>
        <v>#REF!</v>
      </c>
      <c r="BL44" s="22">
        <v>0</v>
      </c>
      <c r="BM44" s="22" t="e">
        <f t="shared" si="42"/>
        <v>#REF!</v>
      </c>
      <c r="BN44" s="23" t="e">
        <f>IF(SUMPRODUCT($J$69:BM$69,$J44:BM44)&lt;0.5, "Pending", IF(BM44&lt;0.5, "Complete", "In Progress"))</f>
        <v>#REF!</v>
      </c>
      <c r="BO44" s="22">
        <v>0</v>
      </c>
      <c r="BP44" s="22" t="e">
        <f t="shared" si="43"/>
        <v>#REF!</v>
      </c>
      <c r="BQ44" s="23" t="e">
        <f>IF(SUMPRODUCT($J$69:BP$69,$J44:BP44)&lt;0.5, "Pending", IF(BP44&lt;0.5, "Complete", "In Progress"))</f>
        <v>#REF!</v>
      </c>
      <c r="BR44" s="22">
        <v>0</v>
      </c>
      <c r="BS44" s="22" t="e">
        <f t="shared" si="44"/>
        <v>#REF!</v>
      </c>
      <c r="BT44" s="23" t="e">
        <f>IF(SUMPRODUCT($J$69:BS$69,$J44:BS44)&lt;0.5, "Pending", IF(BS44&lt;0.5, "Complete", "In Progress"))</f>
        <v>#REF!</v>
      </c>
      <c r="BU44" s="22">
        <v>0</v>
      </c>
      <c r="BV44" s="22" t="e">
        <f t="shared" si="45"/>
        <v>#REF!</v>
      </c>
      <c r="BW44" s="23" t="e">
        <f>IF(SUMPRODUCT($J$69:BV$69,$J44:BV44)&lt;0.5, "Pending", IF(BV44&lt;0.5, "Complete", "In Progress"))</f>
        <v>#REF!</v>
      </c>
      <c r="BX44" s="22">
        <v>0</v>
      </c>
      <c r="BY44" s="22" t="e">
        <f t="shared" si="46"/>
        <v>#REF!</v>
      </c>
      <c r="BZ44" s="23" t="e">
        <f>IF(SUMPRODUCT($J$69:BY$69,$J44:BY44)&lt;0.5, "Pending", IF(BY44&lt;0.5, "Complete", "In Progress"))</f>
        <v>#REF!</v>
      </c>
      <c r="CA44" s="22">
        <v>0</v>
      </c>
      <c r="CB44" s="22" t="e">
        <f t="shared" si="47"/>
        <v>#REF!</v>
      </c>
      <c r="CC44" s="23" t="e">
        <f>IF(SUMPRODUCT($J$69:CB$69,$J44:CB44)&lt;0.5, "Pending", IF(CB44&lt;0.5, "Complete", "In Progress"))</f>
        <v>#REF!</v>
      </c>
      <c r="CD44" s="24"/>
      <c r="CE44" s="25">
        <f>SUMPRODUCT($H$69:AY$69,$H44:AY44)</f>
        <v>0</v>
      </c>
    </row>
    <row r="45" spans="1:83" ht="12.75" hidden="1" customHeight="1" x14ac:dyDescent="0.2">
      <c r="A45" s="16"/>
      <c r="B45" s="16"/>
      <c r="C45" s="16"/>
      <c r="D45" s="17"/>
      <c r="E45" s="177"/>
      <c r="F45" s="18" t="s">
        <v>128</v>
      </c>
      <c r="G45" s="19" t="e">
        <f t="shared" ca="1" si="23"/>
        <v>#REF!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IF(SUMPRODUCT($J$69:K$69,$J45:K45)&lt;0.5,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IF(SUMPRODUCT($J$69:N$69,$J45:N45)&lt;0.5,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IF(SUMPRODUCT($J$69:Q$69,$J45:Q45)&lt;0.5,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IF(SUMPRODUCT($J$69:T$69,$J45:T45)&lt;0.5,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IF(SUMPRODUCT($J$69:W$69,$J45:W45)&lt;0.5,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IF(SUMPRODUCT($J$69:Z$69,$J45:Z45)&lt;0.5,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IF(SUMPRODUCT($J$69:AC$69,$J45:AC45)&lt;0.5,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IF(SUMPRODUCT($J$69:AF$69,$J45:AF45)&lt;0.5,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IF(SUMPRODUCT($J$69:AI$69,$J45:AI45)&lt;0.5,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IF(SUMPRODUCT($J$69:AL$69,$J45:AL45)&lt;0.5,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IF(SUMPRODUCT($J$69:AO$69,$J45:AO45)&lt;0.5,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IF(SUMPRODUCT($J$69:AR$69,$J45:AR45)&lt;0.5,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IF(SUMPRODUCT($J$69:AU$69,$J45:AU45)&lt;0.5,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IF(SUMPRODUCT($J$69:AX$69,$J45:AX45)&lt;0.5,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IF(SUMPRODUCT($J$69:BA$69,$J45:BA45)&lt;0.5, "Pending", IF(BA45&lt;0.5, "Complete", "In Progress"))</f>
        <v>#REF!</v>
      </c>
      <c r="BC45" s="22">
        <v>0</v>
      </c>
      <c r="BD45" s="22" t="e">
        <f t="shared" si="39"/>
        <v>#REF!</v>
      </c>
      <c r="BE45" s="23" t="e">
        <f>IF(SUMPRODUCT($J$69:BD$69,$J45:BD45)&lt;0.5, "Pending", IF(BD45&lt;0.5, "Complete", "In Progress"))</f>
        <v>#REF!</v>
      </c>
      <c r="BF45" s="22">
        <v>0</v>
      </c>
      <c r="BG45" s="22" t="e">
        <f t="shared" si="40"/>
        <v>#REF!</v>
      </c>
      <c r="BH45" s="23" t="e">
        <f>IF(SUMPRODUCT($J$69:BG$69,$J45:BG45)&lt;0.5, "Pending", IF(BG45&lt;0.5, "Complete", "In Progress"))</f>
        <v>#REF!</v>
      </c>
      <c r="BI45" s="22">
        <v>0</v>
      </c>
      <c r="BJ45" s="22" t="e">
        <f t="shared" si="41"/>
        <v>#REF!</v>
      </c>
      <c r="BK45" s="23" t="e">
        <f>IF(SUMPRODUCT($J$69:BJ$69,$J45:BJ45)&lt;0.5, "Pending", IF(BJ45&lt;0.5, "Complete", "In Progress"))</f>
        <v>#REF!</v>
      </c>
      <c r="BL45" s="22">
        <v>0</v>
      </c>
      <c r="BM45" s="22" t="e">
        <f t="shared" si="42"/>
        <v>#REF!</v>
      </c>
      <c r="BN45" s="23" t="e">
        <f>IF(SUMPRODUCT($J$69:BM$69,$J45:BM45)&lt;0.5, "Pending", IF(BM45&lt;0.5, "Complete", "In Progress"))</f>
        <v>#REF!</v>
      </c>
      <c r="BO45" s="22">
        <v>0</v>
      </c>
      <c r="BP45" s="22" t="e">
        <f t="shared" si="43"/>
        <v>#REF!</v>
      </c>
      <c r="BQ45" s="23" t="e">
        <f>IF(SUMPRODUCT($J$69:BP$69,$J45:BP45)&lt;0.5, "Pending", IF(BP45&lt;0.5, "Complete", "In Progress"))</f>
        <v>#REF!</v>
      </c>
      <c r="BR45" s="22">
        <v>0</v>
      </c>
      <c r="BS45" s="22" t="e">
        <f t="shared" si="44"/>
        <v>#REF!</v>
      </c>
      <c r="BT45" s="23" t="e">
        <f>IF(SUMPRODUCT($J$69:BS$69,$J45:BS45)&lt;0.5, "Pending", IF(BS45&lt;0.5, "Complete", "In Progress"))</f>
        <v>#REF!</v>
      </c>
      <c r="BU45" s="22">
        <v>0</v>
      </c>
      <c r="BV45" s="22" t="e">
        <f t="shared" si="45"/>
        <v>#REF!</v>
      </c>
      <c r="BW45" s="23" t="e">
        <f>IF(SUMPRODUCT($J$69:BV$69,$J45:BV45)&lt;0.5, "Pending", IF(BV45&lt;0.5, "Complete", "In Progress"))</f>
        <v>#REF!</v>
      </c>
      <c r="BX45" s="22">
        <v>0</v>
      </c>
      <c r="BY45" s="22" t="e">
        <f t="shared" si="46"/>
        <v>#REF!</v>
      </c>
      <c r="BZ45" s="23" t="e">
        <f>IF(SUMPRODUCT($J$69:BY$69,$J45:BY45)&lt;0.5, "Pending", IF(BY45&lt;0.5, "Complete", "In Progress"))</f>
        <v>#REF!</v>
      </c>
      <c r="CA45" s="22">
        <v>0</v>
      </c>
      <c r="CB45" s="22" t="e">
        <f t="shared" si="47"/>
        <v>#REF!</v>
      </c>
      <c r="CC45" s="23" t="e">
        <f>IF(SUMPRODUCT($J$69:CB$69,$J45:CB45)&lt;0.5, "Pending", IF(CB45&lt;0.5, "Complete", "In Progress"))</f>
        <v>#REF!</v>
      </c>
      <c r="CD45" s="24"/>
      <c r="CE45" s="25">
        <f>SUMPRODUCT($H$69:AY$69,$H45:AY45)</f>
        <v>0</v>
      </c>
    </row>
    <row r="46" spans="1:83" ht="12.75" hidden="1" customHeight="1" x14ac:dyDescent="0.2">
      <c r="A46" s="16"/>
      <c r="B46" s="16"/>
      <c r="C46" s="16"/>
      <c r="D46" s="17"/>
      <c r="E46" s="177"/>
      <c r="F46" s="18" t="s">
        <v>128</v>
      </c>
      <c r="G46" s="19" t="e">
        <f t="shared" ca="1" si="23"/>
        <v>#REF!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IF(SUMPRODUCT($J$69:K$69,$J46:K46)&lt;0.5,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IF(SUMPRODUCT($J$69:N$69,$J46:N46)&lt;0.5,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IF(SUMPRODUCT($J$69:Q$69,$J46:Q46)&lt;0.5,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IF(SUMPRODUCT($J$69:T$69,$J46:T46)&lt;0.5,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IF(SUMPRODUCT($J$69:W$69,$J46:W46)&lt;0.5,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IF(SUMPRODUCT($J$69:Z$69,$J46:Z46)&lt;0.5,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IF(SUMPRODUCT($J$69:AC$69,$J46:AC46)&lt;0.5,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IF(SUMPRODUCT($J$69:AF$69,$J46:AF46)&lt;0.5,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IF(SUMPRODUCT($J$69:AI$69,$J46:AI46)&lt;0.5,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IF(SUMPRODUCT($J$69:AL$69,$J46:AL46)&lt;0.5,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IF(SUMPRODUCT($J$69:AO$69,$J46:AO46)&lt;0.5,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IF(SUMPRODUCT($J$69:AR$69,$J46:AR46)&lt;0.5,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IF(SUMPRODUCT($J$69:AU$69,$J46:AU46)&lt;0.5,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IF(SUMPRODUCT($J$69:AX$69,$J46:AX46)&lt;0.5,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IF(SUMPRODUCT($J$69:BA$69,$J46:BA46)&lt;0.5, "Pending", IF(BA46&lt;0.5, "Complete", "In Progress"))</f>
        <v>#REF!</v>
      </c>
      <c r="BC46" s="22">
        <v>0</v>
      </c>
      <c r="BD46" s="22" t="e">
        <f t="shared" si="39"/>
        <v>#REF!</v>
      </c>
      <c r="BE46" s="23" t="e">
        <f>IF(SUMPRODUCT($J$69:BD$69,$J46:BD46)&lt;0.5, "Pending", IF(BD46&lt;0.5, "Complete", "In Progress"))</f>
        <v>#REF!</v>
      </c>
      <c r="BF46" s="22">
        <v>0</v>
      </c>
      <c r="BG46" s="22" t="e">
        <f t="shared" si="40"/>
        <v>#REF!</v>
      </c>
      <c r="BH46" s="23" t="e">
        <f>IF(SUMPRODUCT($J$69:BG$69,$J46:BG46)&lt;0.5, "Pending", IF(BG46&lt;0.5, "Complete", "In Progress"))</f>
        <v>#REF!</v>
      </c>
      <c r="BI46" s="22">
        <v>0</v>
      </c>
      <c r="BJ46" s="22" t="e">
        <f t="shared" si="41"/>
        <v>#REF!</v>
      </c>
      <c r="BK46" s="23" t="e">
        <f>IF(SUMPRODUCT($J$69:BJ$69,$J46:BJ46)&lt;0.5, "Pending", IF(BJ46&lt;0.5, "Complete", "In Progress"))</f>
        <v>#REF!</v>
      </c>
      <c r="BL46" s="22">
        <v>0</v>
      </c>
      <c r="BM46" s="22" t="e">
        <f t="shared" si="42"/>
        <v>#REF!</v>
      </c>
      <c r="BN46" s="23" t="e">
        <f>IF(SUMPRODUCT($J$69:BM$69,$J46:BM46)&lt;0.5, "Pending", IF(BM46&lt;0.5, "Complete", "In Progress"))</f>
        <v>#REF!</v>
      </c>
      <c r="BO46" s="22">
        <v>0</v>
      </c>
      <c r="BP46" s="22" t="e">
        <f t="shared" si="43"/>
        <v>#REF!</v>
      </c>
      <c r="BQ46" s="23" t="e">
        <f>IF(SUMPRODUCT($J$69:BP$69,$J46:BP46)&lt;0.5, "Pending", IF(BP46&lt;0.5, "Complete", "In Progress"))</f>
        <v>#REF!</v>
      </c>
      <c r="BR46" s="22">
        <v>0</v>
      </c>
      <c r="BS46" s="22" t="e">
        <f t="shared" si="44"/>
        <v>#REF!</v>
      </c>
      <c r="BT46" s="23" t="e">
        <f>IF(SUMPRODUCT($J$69:BS$69,$J46:BS46)&lt;0.5, "Pending", IF(BS46&lt;0.5, "Complete", "In Progress"))</f>
        <v>#REF!</v>
      </c>
      <c r="BU46" s="22">
        <v>0</v>
      </c>
      <c r="BV46" s="22" t="e">
        <f t="shared" si="45"/>
        <v>#REF!</v>
      </c>
      <c r="BW46" s="23" t="e">
        <f>IF(SUMPRODUCT($J$69:BV$69,$J46:BV46)&lt;0.5, "Pending", IF(BV46&lt;0.5, "Complete", "In Progress"))</f>
        <v>#REF!</v>
      </c>
      <c r="BX46" s="22">
        <v>0</v>
      </c>
      <c r="BY46" s="22" t="e">
        <f t="shared" si="46"/>
        <v>#REF!</v>
      </c>
      <c r="BZ46" s="23" t="e">
        <f>IF(SUMPRODUCT($J$69:BY$69,$J46:BY46)&lt;0.5, "Pending", IF(BY46&lt;0.5, "Complete", "In Progress"))</f>
        <v>#REF!</v>
      </c>
      <c r="CA46" s="22">
        <v>0</v>
      </c>
      <c r="CB46" s="22" t="e">
        <f t="shared" si="47"/>
        <v>#REF!</v>
      </c>
      <c r="CC46" s="23" t="e">
        <f>IF(SUMPRODUCT($J$69:CB$69,$J46:CB46)&lt;0.5, "Pending", IF(CB46&lt;0.5, "Complete", "In Progress"))</f>
        <v>#REF!</v>
      </c>
      <c r="CD46" s="24"/>
      <c r="CE46" s="25">
        <f>SUMPRODUCT($H$69:AY$69,$H46:AY46)</f>
        <v>0</v>
      </c>
    </row>
    <row r="47" spans="1:83" ht="12.75" hidden="1" customHeight="1" x14ac:dyDescent="0.2">
      <c r="A47" s="16"/>
      <c r="B47" s="16"/>
      <c r="C47" s="16"/>
      <c r="D47" s="17"/>
      <c r="E47" s="177"/>
      <c r="F47" s="18" t="s">
        <v>128</v>
      </c>
      <c r="G47" s="19" t="e">
        <f t="shared" ca="1" si="23"/>
        <v>#REF!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IF(SUMPRODUCT($J$69:K$69,$J47:K47)&lt;0.5,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IF(SUMPRODUCT($J$69:N$69,$J47:N47)&lt;0.5,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IF(SUMPRODUCT($J$69:Q$69,$J47:Q47)&lt;0.5,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IF(SUMPRODUCT($J$69:T$69,$J47:T47)&lt;0.5,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IF(SUMPRODUCT($J$69:W$69,$J47:W47)&lt;0.5,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IF(SUMPRODUCT($J$69:Z$69,$J47:Z47)&lt;0.5,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IF(SUMPRODUCT($J$69:AC$69,$J47:AC47)&lt;0.5,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IF(SUMPRODUCT($J$69:AF$69,$J47:AF47)&lt;0.5,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IF(SUMPRODUCT($J$69:AI$69,$J47:AI47)&lt;0.5,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IF(SUMPRODUCT($J$69:AL$69,$J47:AL47)&lt;0.5,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IF(SUMPRODUCT($J$69:AO$69,$J47:AO47)&lt;0.5,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IF(SUMPRODUCT($J$69:AR$69,$J47:AR47)&lt;0.5,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IF(SUMPRODUCT($J$69:AU$69,$J47:AU47)&lt;0.5,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IF(SUMPRODUCT($J$69:AX$69,$J47:AX47)&lt;0.5,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IF(SUMPRODUCT($J$69:BA$69,$J47:BA47)&lt;0.5, "Pending", IF(BA47&lt;0.5, "Complete", "In Progress"))</f>
        <v>#REF!</v>
      </c>
      <c r="BC47" s="22">
        <v>0</v>
      </c>
      <c r="BD47" s="22" t="e">
        <f t="shared" si="39"/>
        <v>#REF!</v>
      </c>
      <c r="BE47" s="23" t="e">
        <f>IF(SUMPRODUCT($J$69:BD$69,$J47:BD47)&lt;0.5, "Pending", IF(BD47&lt;0.5, "Complete", "In Progress"))</f>
        <v>#REF!</v>
      </c>
      <c r="BF47" s="22">
        <v>0</v>
      </c>
      <c r="BG47" s="22" t="e">
        <f t="shared" si="40"/>
        <v>#REF!</v>
      </c>
      <c r="BH47" s="23" t="e">
        <f>IF(SUMPRODUCT($J$69:BG$69,$J47:BG47)&lt;0.5, "Pending", IF(BG47&lt;0.5, "Complete", "In Progress"))</f>
        <v>#REF!</v>
      </c>
      <c r="BI47" s="22">
        <v>0</v>
      </c>
      <c r="BJ47" s="22" t="e">
        <f t="shared" si="41"/>
        <v>#REF!</v>
      </c>
      <c r="BK47" s="23" t="e">
        <f>IF(SUMPRODUCT($J$69:BJ$69,$J47:BJ47)&lt;0.5, "Pending", IF(BJ47&lt;0.5, "Complete", "In Progress"))</f>
        <v>#REF!</v>
      </c>
      <c r="BL47" s="22">
        <v>0</v>
      </c>
      <c r="BM47" s="22" t="e">
        <f t="shared" si="42"/>
        <v>#REF!</v>
      </c>
      <c r="BN47" s="23" t="e">
        <f>IF(SUMPRODUCT($J$69:BM$69,$J47:BM47)&lt;0.5, "Pending", IF(BM47&lt;0.5, "Complete", "In Progress"))</f>
        <v>#REF!</v>
      </c>
      <c r="BO47" s="22">
        <v>0</v>
      </c>
      <c r="BP47" s="22" t="e">
        <f t="shared" si="43"/>
        <v>#REF!</v>
      </c>
      <c r="BQ47" s="23" t="e">
        <f>IF(SUMPRODUCT($J$69:BP$69,$J47:BP47)&lt;0.5, "Pending", IF(BP47&lt;0.5, "Complete", "In Progress"))</f>
        <v>#REF!</v>
      </c>
      <c r="BR47" s="22">
        <v>0</v>
      </c>
      <c r="BS47" s="22" t="e">
        <f t="shared" si="44"/>
        <v>#REF!</v>
      </c>
      <c r="BT47" s="23" t="e">
        <f>IF(SUMPRODUCT($J$69:BS$69,$J47:BS47)&lt;0.5, "Pending", IF(BS47&lt;0.5, "Complete", "In Progress"))</f>
        <v>#REF!</v>
      </c>
      <c r="BU47" s="22">
        <v>0</v>
      </c>
      <c r="BV47" s="22" t="e">
        <f t="shared" si="45"/>
        <v>#REF!</v>
      </c>
      <c r="BW47" s="23" t="e">
        <f>IF(SUMPRODUCT($J$69:BV$69,$J47:BV47)&lt;0.5, "Pending", IF(BV47&lt;0.5, "Complete", "In Progress"))</f>
        <v>#REF!</v>
      </c>
      <c r="BX47" s="22">
        <v>0</v>
      </c>
      <c r="BY47" s="22" t="e">
        <f t="shared" si="46"/>
        <v>#REF!</v>
      </c>
      <c r="BZ47" s="23" t="e">
        <f>IF(SUMPRODUCT($J$69:BY$69,$J47:BY47)&lt;0.5, "Pending", IF(BY47&lt;0.5, "Complete", "In Progress"))</f>
        <v>#REF!</v>
      </c>
      <c r="CA47" s="22">
        <v>0</v>
      </c>
      <c r="CB47" s="22" t="e">
        <f t="shared" si="47"/>
        <v>#REF!</v>
      </c>
      <c r="CC47" s="23" t="e">
        <f>IF(SUMPRODUCT($J$69:CB$69,$J47:CB47)&lt;0.5, "Pending", IF(CB47&lt;0.5, "Complete", "In Progress"))</f>
        <v>#REF!</v>
      </c>
      <c r="CD47" s="24"/>
      <c r="CE47" s="25">
        <f>SUMPRODUCT($H$69:AY$69,$H47:AY47)</f>
        <v>0</v>
      </c>
    </row>
    <row r="48" spans="1:83" ht="12.75" hidden="1" customHeight="1" x14ac:dyDescent="0.2">
      <c r="A48" s="16"/>
      <c r="B48" s="16"/>
      <c r="C48" s="16"/>
      <c r="D48" s="17"/>
      <c r="E48" s="177"/>
      <c r="F48" s="18" t="s">
        <v>128</v>
      </c>
      <c r="G48" s="19" t="e">
        <f t="shared" ca="1" si="23"/>
        <v>#REF!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IF(SUMPRODUCT($J$69:K$69,$J48:K48)&lt;0.5,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IF(SUMPRODUCT($J$69:N$69,$J48:N48)&lt;0.5,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IF(SUMPRODUCT($J$69:Q$69,$J48:Q48)&lt;0.5,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IF(SUMPRODUCT($J$69:T$69,$J48:T48)&lt;0.5,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IF(SUMPRODUCT($J$69:W$69,$J48:W48)&lt;0.5,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IF(SUMPRODUCT($J$69:Z$69,$J48:Z48)&lt;0.5,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IF(SUMPRODUCT($J$69:AC$69,$J48:AC48)&lt;0.5,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IF(SUMPRODUCT($J$69:AF$69,$J48:AF48)&lt;0.5,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IF(SUMPRODUCT($J$69:AI$69,$J48:AI48)&lt;0.5,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IF(SUMPRODUCT($J$69:AL$69,$J48:AL48)&lt;0.5,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IF(SUMPRODUCT($J$69:AO$69,$J48:AO48)&lt;0.5,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IF(SUMPRODUCT($J$69:AR$69,$J48:AR48)&lt;0.5,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IF(SUMPRODUCT($J$69:AU$69,$J48:AU48)&lt;0.5,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IF(SUMPRODUCT($J$69:AX$69,$J48:AX48)&lt;0.5,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IF(SUMPRODUCT($J$69:BA$69,$J48:BA48)&lt;0.5, "Pending", IF(BA48&lt;0.5, "Complete", "In Progress"))</f>
        <v>#REF!</v>
      </c>
      <c r="BC48" s="22">
        <v>0</v>
      </c>
      <c r="BD48" s="22" t="e">
        <f t="shared" si="39"/>
        <v>#REF!</v>
      </c>
      <c r="BE48" s="23" t="e">
        <f>IF(SUMPRODUCT($J$69:BD$69,$J48:BD48)&lt;0.5, "Pending", IF(BD48&lt;0.5, "Complete", "In Progress"))</f>
        <v>#REF!</v>
      </c>
      <c r="BF48" s="22">
        <v>0</v>
      </c>
      <c r="BG48" s="22" t="e">
        <f t="shared" si="40"/>
        <v>#REF!</v>
      </c>
      <c r="BH48" s="23" t="e">
        <f>IF(SUMPRODUCT($J$69:BG$69,$J48:BG48)&lt;0.5, "Pending", IF(BG48&lt;0.5, "Complete", "In Progress"))</f>
        <v>#REF!</v>
      </c>
      <c r="BI48" s="22">
        <v>0</v>
      </c>
      <c r="BJ48" s="22" t="e">
        <f t="shared" si="41"/>
        <v>#REF!</v>
      </c>
      <c r="BK48" s="23" t="e">
        <f>IF(SUMPRODUCT($J$69:BJ$69,$J48:BJ48)&lt;0.5, "Pending", IF(BJ48&lt;0.5, "Complete", "In Progress"))</f>
        <v>#REF!</v>
      </c>
      <c r="BL48" s="22">
        <v>0</v>
      </c>
      <c r="BM48" s="22" t="e">
        <f t="shared" si="42"/>
        <v>#REF!</v>
      </c>
      <c r="BN48" s="23" t="e">
        <f>IF(SUMPRODUCT($J$69:BM$69,$J48:BM48)&lt;0.5, "Pending", IF(BM48&lt;0.5, "Complete", "In Progress"))</f>
        <v>#REF!</v>
      </c>
      <c r="BO48" s="22">
        <v>0</v>
      </c>
      <c r="BP48" s="22" t="e">
        <f t="shared" si="43"/>
        <v>#REF!</v>
      </c>
      <c r="BQ48" s="23" t="e">
        <f>IF(SUMPRODUCT($J$69:BP$69,$J48:BP48)&lt;0.5, "Pending", IF(BP48&lt;0.5, "Complete", "In Progress"))</f>
        <v>#REF!</v>
      </c>
      <c r="BR48" s="22">
        <v>0</v>
      </c>
      <c r="BS48" s="22" t="e">
        <f t="shared" si="44"/>
        <v>#REF!</v>
      </c>
      <c r="BT48" s="23" t="e">
        <f>IF(SUMPRODUCT($J$69:BS$69,$J48:BS48)&lt;0.5, "Pending", IF(BS48&lt;0.5, "Complete", "In Progress"))</f>
        <v>#REF!</v>
      </c>
      <c r="BU48" s="22">
        <v>0</v>
      </c>
      <c r="BV48" s="22" t="e">
        <f t="shared" si="45"/>
        <v>#REF!</v>
      </c>
      <c r="BW48" s="23" t="e">
        <f>IF(SUMPRODUCT($J$69:BV$69,$J48:BV48)&lt;0.5, "Pending", IF(BV48&lt;0.5, "Complete", "In Progress"))</f>
        <v>#REF!</v>
      </c>
      <c r="BX48" s="22">
        <v>0</v>
      </c>
      <c r="BY48" s="22" t="e">
        <f t="shared" si="46"/>
        <v>#REF!</v>
      </c>
      <c r="BZ48" s="23" t="e">
        <f>IF(SUMPRODUCT($J$69:BY$69,$J48:BY48)&lt;0.5, "Pending", IF(BY48&lt;0.5, "Complete", "In Progress"))</f>
        <v>#REF!</v>
      </c>
      <c r="CA48" s="22">
        <v>0</v>
      </c>
      <c r="CB48" s="22" t="e">
        <f t="shared" si="47"/>
        <v>#REF!</v>
      </c>
      <c r="CC48" s="23" t="e">
        <f>IF(SUMPRODUCT($J$69:CB$69,$J48:CB48)&lt;0.5, "Pending", IF(CB48&lt;0.5, "Complete", "In Progress"))</f>
        <v>#REF!</v>
      </c>
      <c r="CD48" s="24"/>
      <c r="CE48" s="25">
        <f>SUMPRODUCT($H$69:AY$69,$H48:AY48)</f>
        <v>0</v>
      </c>
    </row>
    <row r="49" spans="1:83" ht="12.75" hidden="1" customHeight="1" x14ac:dyDescent="0.2">
      <c r="A49" s="16"/>
      <c r="B49" s="16"/>
      <c r="C49" s="16"/>
      <c r="D49" s="17"/>
      <c r="E49" s="177"/>
      <c r="F49" s="18" t="s">
        <v>128</v>
      </c>
      <c r="G49" s="19" t="e">
        <f t="shared" ca="1" si="23"/>
        <v>#REF!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IF(SUMPRODUCT($J$69:K$69,$J49:K49)&lt;0.5,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IF(SUMPRODUCT($J$69:N$69,$J49:N49)&lt;0.5,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IF(SUMPRODUCT($J$69:Q$69,$J49:Q49)&lt;0.5,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IF(SUMPRODUCT($J$69:T$69,$J49:T49)&lt;0.5,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IF(SUMPRODUCT($J$69:W$69,$J49:W49)&lt;0.5,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IF(SUMPRODUCT($J$69:Z$69,$J49:Z49)&lt;0.5,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IF(SUMPRODUCT($J$69:AC$69,$J49:AC49)&lt;0.5,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IF(SUMPRODUCT($J$69:AF$69,$J49:AF49)&lt;0.5,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IF(SUMPRODUCT($J$69:AI$69,$J49:AI49)&lt;0.5,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IF(SUMPRODUCT($J$69:AL$69,$J49:AL49)&lt;0.5,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IF(SUMPRODUCT($J$69:AO$69,$J49:AO49)&lt;0.5,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IF(SUMPRODUCT($J$69:AR$69,$J49:AR49)&lt;0.5,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IF(SUMPRODUCT($J$69:AU$69,$J49:AU49)&lt;0.5,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IF(SUMPRODUCT($J$69:AX$69,$J49:AX49)&lt;0.5,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IF(SUMPRODUCT($J$69:BA$69,$J49:BA49)&lt;0.5, "Pending", IF(BA49&lt;0.5, "Complete", "In Progress"))</f>
        <v>#REF!</v>
      </c>
      <c r="BC49" s="22">
        <v>0</v>
      </c>
      <c r="BD49" s="22" t="e">
        <f t="shared" si="39"/>
        <v>#REF!</v>
      </c>
      <c r="BE49" s="23" t="e">
        <f>IF(SUMPRODUCT($J$69:BD$69,$J49:BD49)&lt;0.5, "Pending", IF(BD49&lt;0.5, "Complete", "In Progress"))</f>
        <v>#REF!</v>
      </c>
      <c r="BF49" s="22">
        <v>0</v>
      </c>
      <c r="BG49" s="22" t="e">
        <f t="shared" si="40"/>
        <v>#REF!</v>
      </c>
      <c r="BH49" s="23" t="e">
        <f>IF(SUMPRODUCT($J$69:BG$69,$J49:BG49)&lt;0.5, "Pending", IF(BG49&lt;0.5, "Complete", "In Progress"))</f>
        <v>#REF!</v>
      </c>
      <c r="BI49" s="22">
        <v>0</v>
      </c>
      <c r="BJ49" s="22" t="e">
        <f t="shared" si="41"/>
        <v>#REF!</v>
      </c>
      <c r="BK49" s="23" t="e">
        <f>IF(SUMPRODUCT($J$69:BJ$69,$J49:BJ49)&lt;0.5, "Pending", IF(BJ49&lt;0.5, "Complete", "In Progress"))</f>
        <v>#REF!</v>
      </c>
      <c r="BL49" s="22">
        <v>0</v>
      </c>
      <c r="BM49" s="22" t="e">
        <f t="shared" si="42"/>
        <v>#REF!</v>
      </c>
      <c r="BN49" s="23" t="e">
        <f>IF(SUMPRODUCT($J$69:BM$69,$J49:BM49)&lt;0.5, "Pending", IF(BM49&lt;0.5, "Complete", "In Progress"))</f>
        <v>#REF!</v>
      </c>
      <c r="BO49" s="22">
        <v>0</v>
      </c>
      <c r="BP49" s="22" t="e">
        <f t="shared" si="43"/>
        <v>#REF!</v>
      </c>
      <c r="BQ49" s="23" t="e">
        <f>IF(SUMPRODUCT($J$69:BP$69,$J49:BP49)&lt;0.5, "Pending", IF(BP49&lt;0.5, "Complete", "In Progress"))</f>
        <v>#REF!</v>
      </c>
      <c r="BR49" s="22">
        <v>0</v>
      </c>
      <c r="BS49" s="22" t="e">
        <f t="shared" si="44"/>
        <v>#REF!</v>
      </c>
      <c r="BT49" s="23" t="e">
        <f>IF(SUMPRODUCT($J$69:BS$69,$J49:BS49)&lt;0.5, "Pending", IF(BS49&lt;0.5, "Complete", "In Progress"))</f>
        <v>#REF!</v>
      </c>
      <c r="BU49" s="22">
        <v>0</v>
      </c>
      <c r="BV49" s="22" t="e">
        <f t="shared" si="45"/>
        <v>#REF!</v>
      </c>
      <c r="BW49" s="23" t="e">
        <f>IF(SUMPRODUCT($J$69:BV$69,$J49:BV49)&lt;0.5, "Pending", IF(BV49&lt;0.5, "Complete", "In Progress"))</f>
        <v>#REF!</v>
      </c>
      <c r="BX49" s="22">
        <v>0</v>
      </c>
      <c r="BY49" s="22" t="e">
        <f t="shared" si="46"/>
        <v>#REF!</v>
      </c>
      <c r="BZ49" s="23" t="e">
        <f>IF(SUMPRODUCT($J$69:BY$69,$J49:BY49)&lt;0.5, "Pending", IF(BY49&lt;0.5, "Complete", "In Progress"))</f>
        <v>#REF!</v>
      </c>
      <c r="CA49" s="22">
        <v>0</v>
      </c>
      <c r="CB49" s="22" t="e">
        <f t="shared" si="47"/>
        <v>#REF!</v>
      </c>
      <c r="CC49" s="23" t="e">
        <f>IF(SUMPRODUCT($J$69:CB$69,$J49:CB49)&lt;0.5, "Pending", IF(CB49&lt;0.5, "Complete", "In Progress"))</f>
        <v>#REF!</v>
      </c>
      <c r="CD49" s="24"/>
      <c r="CE49" s="25">
        <f>SUMPRODUCT($H$69:AY$69,$H49:AY49)</f>
        <v>0</v>
      </c>
    </row>
    <row r="50" spans="1:83" ht="12.75" hidden="1" customHeight="1" x14ac:dyDescent="0.2">
      <c r="A50" s="16"/>
      <c r="B50" s="16"/>
      <c r="C50" s="16"/>
      <c r="D50" s="17"/>
      <c r="E50" s="177"/>
      <c r="F50" s="18" t="s">
        <v>128</v>
      </c>
      <c r="G50" s="19" t="e">
        <f t="shared" ca="1" si="23"/>
        <v>#REF!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IF(SUMPRODUCT($J$69:K$69,$J50:K50)&lt;0.5,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IF(SUMPRODUCT($J$69:N$69,$J50:N50)&lt;0.5,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IF(SUMPRODUCT($J$69:Q$69,$J50:Q50)&lt;0.5,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IF(SUMPRODUCT($J$69:T$69,$J50:T50)&lt;0.5,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IF(SUMPRODUCT($J$69:W$69,$J50:W50)&lt;0.5,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IF(SUMPRODUCT($J$69:Z$69,$J50:Z50)&lt;0.5,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IF(SUMPRODUCT($J$69:AC$69,$J50:AC50)&lt;0.5,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IF(SUMPRODUCT($J$69:AF$69,$J50:AF50)&lt;0.5,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IF(SUMPRODUCT($J$69:AI$69,$J50:AI50)&lt;0.5,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IF(SUMPRODUCT($J$69:AL$69,$J50:AL50)&lt;0.5,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IF(SUMPRODUCT($J$69:AO$69,$J50:AO50)&lt;0.5,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IF(SUMPRODUCT($J$69:AR$69,$J50:AR50)&lt;0.5,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IF(SUMPRODUCT($J$69:AU$69,$J50:AU50)&lt;0.5,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IF(SUMPRODUCT($J$69:AX$69,$J50:AX50)&lt;0.5,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IF(SUMPRODUCT($J$69:BA$69,$J50:BA50)&lt;0.5, "Pending", IF(BA50&lt;0.5, "Complete", "In Progress"))</f>
        <v>#REF!</v>
      </c>
      <c r="BC50" s="22">
        <v>0</v>
      </c>
      <c r="BD50" s="22" t="e">
        <f t="shared" si="39"/>
        <v>#REF!</v>
      </c>
      <c r="BE50" s="23" t="e">
        <f>IF(SUMPRODUCT($J$69:BD$69,$J50:BD50)&lt;0.5, "Pending", IF(BD50&lt;0.5, "Complete", "In Progress"))</f>
        <v>#REF!</v>
      </c>
      <c r="BF50" s="22">
        <v>0</v>
      </c>
      <c r="BG50" s="22" t="e">
        <f t="shared" si="40"/>
        <v>#REF!</v>
      </c>
      <c r="BH50" s="23" t="e">
        <f>IF(SUMPRODUCT($J$69:BG$69,$J50:BG50)&lt;0.5, "Pending", IF(BG50&lt;0.5, "Complete", "In Progress"))</f>
        <v>#REF!</v>
      </c>
      <c r="BI50" s="22">
        <v>0</v>
      </c>
      <c r="BJ50" s="22" t="e">
        <f t="shared" si="41"/>
        <v>#REF!</v>
      </c>
      <c r="BK50" s="23" t="e">
        <f>IF(SUMPRODUCT($J$69:BJ$69,$J50:BJ50)&lt;0.5, "Pending", IF(BJ50&lt;0.5, "Complete", "In Progress"))</f>
        <v>#REF!</v>
      </c>
      <c r="BL50" s="22">
        <v>0</v>
      </c>
      <c r="BM50" s="22" t="e">
        <f t="shared" si="42"/>
        <v>#REF!</v>
      </c>
      <c r="BN50" s="23" t="e">
        <f>IF(SUMPRODUCT($J$69:BM$69,$J50:BM50)&lt;0.5, "Pending", IF(BM50&lt;0.5, "Complete", "In Progress"))</f>
        <v>#REF!</v>
      </c>
      <c r="BO50" s="22">
        <v>0</v>
      </c>
      <c r="BP50" s="22" t="e">
        <f t="shared" si="43"/>
        <v>#REF!</v>
      </c>
      <c r="BQ50" s="23" t="e">
        <f>IF(SUMPRODUCT($J$69:BP$69,$J50:BP50)&lt;0.5, "Pending", IF(BP50&lt;0.5, "Complete", "In Progress"))</f>
        <v>#REF!</v>
      </c>
      <c r="BR50" s="22">
        <v>0</v>
      </c>
      <c r="BS50" s="22" t="e">
        <f t="shared" si="44"/>
        <v>#REF!</v>
      </c>
      <c r="BT50" s="23" t="e">
        <f>IF(SUMPRODUCT($J$69:BS$69,$J50:BS50)&lt;0.5, "Pending", IF(BS50&lt;0.5, "Complete", "In Progress"))</f>
        <v>#REF!</v>
      </c>
      <c r="BU50" s="22">
        <v>0</v>
      </c>
      <c r="BV50" s="22" t="e">
        <f t="shared" si="45"/>
        <v>#REF!</v>
      </c>
      <c r="BW50" s="23" t="e">
        <f>IF(SUMPRODUCT($J$69:BV$69,$J50:BV50)&lt;0.5, "Pending", IF(BV50&lt;0.5, "Complete", "In Progress"))</f>
        <v>#REF!</v>
      </c>
      <c r="BX50" s="22">
        <v>0</v>
      </c>
      <c r="BY50" s="22" t="e">
        <f t="shared" si="46"/>
        <v>#REF!</v>
      </c>
      <c r="BZ50" s="23" t="e">
        <f>IF(SUMPRODUCT($J$69:BY$69,$J50:BY50)&lt;0.5, "Pending", IF(BY50&lt;0.5, "Complete", "In Progress"))</f>
        <v>#REF!</v>
      </c>
      <c r="CA50" s="22">
        <v>0</v>
      </c>
      <c r="CB50" s="22" t="e">
        <f t="shared" si="47"/>
        <v>#REF!</v>
      </c>
      <c r="CC50" s="23" t="e">
        <f>IF(SUMPRODUCT($J$69:CB$69,$J50:CB50)&lt;0.5, "Pending", IF(CB50&lt;0.5, "Complete", "In Progress"))</f>
        <v>#REF!</v>
      </c>
      <c r="CD50" s="24"/>
      <c r="CE50" s="25">
        <f>SUMPRODUCT($H$69:AY$69,$H50:AY50)</f>
        <v>0</v>
      </c>
    </row>
    <row r="51" spans="1:83" ht="12.75" hidden="1" customHeight="1" x14ac:dyDescent="0.2">
      <c r="A51" s="16"/>
      <c r="B51" s="16"/>
      <c r="C51" s="16"/>
      <c r="D51" s="17"/>
      <c r="E51" s="177"/>
      <c r="F51" s="18" t="s">
        <v>128</v>
      </c>
      <c r="G51" s="19" t="e">
        <f t="shared" ca="1" si="23"/>
        <v>#REF!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IF(SUMPRODUCT($J$69:K$69,$J51:K51)&lt;0.5,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IF(SUMPRODUCT($J$69:N$69,$J51:N51)&lt;0.5,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IF(SUMPRODUCT($J$69:Q$69,$J51:Q51)&lt;0.5,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IF(SUMPRODUCT($J$69:T$69,$J51:T51)&lt;0.5,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IF(SUMPRODUCT($J$69:W$69,$J51:W51)&lt;0.5,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IF(SUMPRODUCT($J$69:Z$69,$J51:Z51)&lt;0.5,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IF(SUMPRODUCT($J$69:AC$69,$J51:AC51)&lt;0.5,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IF(SUMPRODUCT($J$69:AF$69,$J51:AF51)&lt;0.5,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IF(SUMPRODUCT($J$69:AI$69,$J51:AI51)&lt;0.5,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IF(SUMPRODUCT($J$69:AL$69,$J51:AL51)&lt;0.5,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IF(SUMPRODUCT($J$69:AO$69,$J51:AO51)&lt;0.5,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IF(SUMPRODUCT($J$69:AR$69,$J51:AR51)&lt;0.5,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IF(SUMPRODUCT($J$69:AU$69,$J51:AU51)&lt;0.5,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IF(SUMPRODUCT($J$69:AX$69,$J51:AX51)&lt;0.5,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IF(SUMPRODUCT($J$69:BA$69,$J51:BA51)&lt;0.5, "Pending", IF(BA51&lt;0.5, "Complete", "In Progress"))</f>
        <v>#REF!</v>
      </c>
      <c r="BC51" s="22">
        <v>0</v>
      </c>
      <c r="BD51" s="22" t="e">
        <f t="shared" si="39"/>
        <v>#REF!</v>
      </c>
      <c r="BE51" s="23" t="e">
        <f>IF(SUMPRODUCT($J$69:BD$69,$J51:BD51)&lt;0.5, "Pending", IF(BD51&lt;0.5, "Complete", "In Progress"))</f>
        <v>#REF!</v>
      </c>
      <c r="BF51" s="22">
        <v>0</v>
      </c>
      <c r="BG51" s="22" t="e">
        <f t="shared" si="40"/>
        <v>#REF!</v>
      </c>
      <c r="BH51" s="23" t="e">
        <f>IF(SUMPRODUCT($J$69:BG$69,$J51:BG51)&lt;0.5, "Pending", IF(BG51&lt;0.5, "Complete", "In Progress"))</f>
        <v>#REF!</v>
      </c>
      <c r="BI51" s="22">
        <v>0</v>
      </c>
      <c r="BJ51" s="22" t="e">
        <f t="shared" si="41"/>
        <v>#REF!</v>
      </c>
      <c r="BK51" s="23" t="e">
        <f>IF(SUMPRODUCT($J$69:BJ$69,$J51:BJ51)&lt;0.5, "Pending", IF(BJ51&lt;0.5, "Complete", "In Progress"))</f>
        <v>#REF!</v>
      </c>
      <c r="BL51" s="22">
        <v>0</v>
      </c>
      <c r="BM51" s="22" t="e">
        <f t="shared" si="42"/>
        <v>#REF!</v>
      </c>
      <c r="BN51" s="23" t="e">
        <f>IF(SUMPRODUCT($J$69:BM$69,$J51:BM51)&lt;0.5, "Pending", IF(BM51&lt;0.5, "Complete", "In Progress"))</f>
        <v>#REF!</v>
      </c>
      <c r="BO51" s="22">
        <v>0</v>
      </c>
      <c r="BP51" s="22" t="e">
        <f t="shared" si="43"/>
        <v>#REF!</v>
      </c>
      <c r="BQ51" s="23" t="e">
        <f>IF(SUMPRODUCT($J$69:BP$69,$J51:BP51)&lt;0.5, "Pending", IF(BP51&lt;0.5, "Complete", "In Progress"))</f>
        <v>#REF!</v>
      </c>
      <c r="BR51" s="22">
        <v>0</v>
      </c>
      <c r="BS51" s="22" t="e">
        <f t="shared" si="44"/>
        <v>#REF!</v>
      </c>
      <c r="BT51" s="23" t="e">
        <f>IF(SUMPRODUCT($J$69:BS$69,$J51:BS51)&lt;0.5, "Pending", IF(BS51&lt;0.5, "Complete", "In Progress"))</f>
        <v>#REF!</v>
      </c>
      <c r="BU51" s="22">
        <v>0</v>
      </c>
      <c r="BV51" s="22" t="e">
        <f t="shared" si="45"/>
        <v>#REF!</v>
      </c>
      <c r="BW51" s="23" t="e">
        <f>IF(SUMPRODUCT($J$69:BV$69,$J51:BV51)&lt;0.5, "Pending", IF(BV51&lt;0.5, "Complete", "In Progress"))</f>
        <v>#REF!</v>
      </c>
      <c r="BX51" s="22">
        <v>0</v>
      </c>
      <c r="BY51" s="22" t="e">
        <f t="shared" si="46"/>
        <v>#REF!</v>
      </c>
      <c r="BZ51" s="23" t="e">
        <f>IF(SUMPRODUCT($J$69:BY$69,$J51:BY51)&lt;0.5, "Pending", IF(BY51&lt;0.5, "Complete", "In Progress"))</f>
        <v>#REF!</v>
      </c>
      <c r="CA51" s="22">
        <v>0</v>
      </c>
      <c r="CB51" s="22" t="e">
        <f t="shared" si="47"/>
        <v>#REF!</v>
      </c>
      <c r="CC51" s="23" t="e">
        <f>IF(SUMPRODUCT($J$69:CB$69,$J51:CB51)&lt;0.5, "Pending", IF(CB51&lt;0.5, "Complete", "In Progress"))</f>
        <v>#REF!</v>
      </c>
      <c r="CD51" s="24"/>
      <c r="CE51" s="25">
        <f>SUMPRODUCT($H$69:AY$69,$H51:AY51)</f>
        <v>0</v>
      </c>
    </row>
    <row r="52" spans="1:83" ht="12.75" hidden="1" customHeight="1" x14ac:dyDescent="0.2">
      <c r="A52" s="16"/>
      <c r="B52" s="16"/>
      <c r="C52" s="16"/>
      <c r="D52" s="17"/>
      <c r="E52" s="177"/>
      <c r="F52" s="18" t="s">
        <v>128</v>
      </c>
      <c r="G52" s="19" t="e">
        <f t="shared" ca="1" si="23"/>
        <v>#REF!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IF(SUMPRODUCT($J$69:K$69,$J52:K52)&lt;0.5,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IF(SUMPRODUCT($J$69:N$69,$J52:N52)&lt;0.5,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IF(SUMPRODUCT($J$69:Q$69,$J52:Q52)&lt;0.5,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IF(SUMPRODUCT($J$69:T$69,$J52:T52)&lt;0.5,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IF(SUMPRODUCT($J$69:W$69,$J52:W52)&lt;0.5,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IF(SUMPRODUCT($J$69:Z$69,$J52:Z52)&lt;0.5,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IF(SUMPRODUCT($J$69:AC$69,$J52:AC52)&lt;0.5,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IF(SUMPRODUCT($J$69:AF$69,$J52:AF52)&lt;0.5,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IF(SUMPRODUCT($J$69:AI$69,$J52:AI52)&lt;0.5,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IF(SUMPRODUCT($J$69:AL$69,$J52:AL52)&lt;0.5,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IF(SUMPRODUCT($J$69:AO$69,$J52:AO52)&lt;0.5,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IF(SUMPRODUCT($J$69:AR$69,$J52:AR52)&lt;0.5,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IF(SUMPRODUCT($J$69:AU$69,$J52:AU52)&lt;0.5,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IF(SUMPRODUCT($J$69:AX$69,$J52:AX52)&lt;0.5,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IF(SUMPRODUCT($J$69:BA$69,$J52:BA52)&lt;0.5, "Pending", IF(BA52&lt;0.5, "Complete", "In Progress"))</f>
        <v>#REF!</v>
      </c>
      <c r="BC52" s="22">
        <v>0</v>
      </c>
      <c r="BD52" s="22" t="e">
        <f t="shared" si="39"/>
        <v>#REF!</v>
      </c>
      <c r="BE52" s="23" t="e">
        <f>IF(SUMPRODUCT($J$69:BD$69,$J52:BD52)&lt;0.5, "Pending", IF(BD52&lt;0.5, "Complete", "In Progress"))</f>
        <v>#REF!</v>
      </c>
      <c r="BF52" s="22">
        <v>0</v>
      </c>
      <c r="BG52" s="22" t="e">
        <f t="shared" si="40"/>
        <v>#REF!</v>
      </c>
      <c r="BH52" s="23" t="e">
        <f>IF(SUMPRODUCT($J$69:BG$69,$J52:BG52)&lt;0.5, "Pending", IF(BG52&lt;0.5, "Complete", "In Progress"))</f>
        <v>#REF!</v>
      </c>
      <c r="BI52" s="22">
        <v>0</v>
      </c>
      <c r="BJ52" s="22" t="e">
        <f t="shared" si="41"/>
        <v>#REF!</v>
      </c>
      <c r="BK52" s="23" t="e">
        <f>IF(SUMPRODUCT($J$69:BJ$69,$J52:BJ52)&lt;0.5, "Pending", IF(BJ52&lt;0.5, "Complete", "In Progress"))</f>
        <v>#REF!</v>
      </c>
      <c r="BL52" s="22">
        <v>0</v>
      </c>
      <c r="BM52" s="22" t="e">
        <f t="shared" si="42"/>
        <v>#REF!</v>
      </c>
      <c r="BN52" s="23" t="e">
        <f>IF(SUMPRODUCT($J$69:BM$69,$J52:BM52)&lt;0.5, "Pending", IF(BM52&lt;0.5, "Complete", "In Progress"))</f>
        <v>#REF!</v>
      </c>
      <c r="BO52" s="22">
        <v>0</v>
      </c>
      <c r="BP52" s="22" t="e">
        <f t="shared" si="43"/>
        <v>#REF!</v>
      </c>
      <c r="BQ52" s="23" t="e">
        <f>IF(SUMPRODUCT($J$69:BP$69,$J52:BP52)&lt;0.5, "Pending", IF(BP52&lt;0.5, "Complete", "In Progress"))</f>
        <v>#REF!</v>
      </c>
      <c r="BR52" s="22">
        <v>0</v>
      </c>
      <c r="BS52" s="22" t="e">
        <f t="shared" si="44"/>
        <v>#REF!</v>
      </c>
      <c r="BT52" s="23" t="e">
        <f>IF(SUMPRODUCT($J$69:BS$69,$J52:BS52)&lt;0.5, "Pending", IF(BS52&lt;0.5, "Complete", "In Progress"))</f>
        <v>#REF!</v>
      </c>
      <c r="BU52" s="22">
        <v>0</v>
      </c>
      <c r="BV52" s="22" t="e">
        <f t="shared" si="45"/>
        <v>#REF!</v>
      </c>
      <c r="BW52" s="23" t="e">
        <f>IF(SUMPRODUCT($J$69:BV$69,$J52:BV52)&lt;0.5, "Pending", IF(BV52&lt;0.5, "Complete", "In Progress"))</f>
        <v>#REF!</v>
      </c>
      <c r="BX52" s="22">
        <v>0</v>
      </c>
      <c r="BY52" s="22" t="e">
        <f t="shared" si="46"/>
        <v>#REF!</v>
      </c>
      <c r="BZ52" s="23" t="e">
        <f>IF(SUMPRODUCT($J$69:BY$69,$J52:BY52)&lt;0.5, "Pending", IF(BY52&lt;0.5, "Complete", "In Progress"))</f>
        <v>#REF!</v>
      </c>
      <c r="CA52" s="22">
        <v>0</v>
      </c>
      <c r="CB52" s="22" t="e">
        <f t="shared" si="47"/>
        <v>#REF!</v>
      </c>
      <c r="CC52" s="23" t="e">
        <f>IF(SUMPRODUCT($J$69:CB$69,$J52:CB52)&lt;0.5, "Pending", IF(CB52&lt;0.5, "Complete", "In Progress"))</f>
        <v>#REF!</v>
      </c>
      <c r="CD52" s="24"/>
      <c r="CE52" s="25">
        <f>SUMPRODUCT($H$69:AY$69,$H52:AY52)</f>
        <v>0</v>
      </c>
    </row>
    <row r="53" spans="1:83" ht="12.75" hidden="1" customHeight="1" x14ac:dyDescent="0.2">
      <c r="A53" s="16"/>
      <c r="B53" s="16"/>
      <c r="C53" s="16"/>
      <c r="D53" s="17"/>
      <c r="E53" s="177"/>
      <c r="F53" s="18" t="s">
        <v>128</v>
      </c>
      <c r="G53" s="19" t="e">
        <f t="shared" ca="1" si="23"/>
        <v>#REF!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IF(SUMPRODUCT($J$69:K$69,$J53:K53)&lt;0.5,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IF(SUMPRODUCT($J$69:N$69,$J53:N53)&lt;0.5,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IF(SUMPRODUCT($J$69:Q$69,$J53:Q53)&lt;0.5,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IF(SUMPRODUCT($J$69:T$69,$J53:T53)&lt;0.5,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IF(SUMPRODUCT($J$69:W$69,$J53:W53)&lt;0.5,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IF(SUMPRODUCT($J$69:Z$69,$J53:Z53)&lt;0.5,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IF(SUMPRODUCT($J$69:AC$69,$J53:AC53)&lt;0.5,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IF(SUMPRODUCT($J$69:AF$69,$J53:AF53)&lt;0.5,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IF(SUMPRODUCT($J$69:AI$69,$J53:AI53)&lt;0.5,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IF(SUMPRODUCT($J$69:AL$69,$J53:AL53)&lt;0.5,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IF(SUMPRODUCT($J$69:AO$69,$J53:AO53)&lt;0.5,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IF(SUMPRODUCT($J$69:AR$69,$J53:AR53)&lt;0.5,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IF(SUMPRODUCT($J$69:AU$69,$J53:AU53)&lt;0.5,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IF(SUMPRODUCT($J$69:AX$69,$J53:AX53)&lt;0.5,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IF(SUMPRODUCT($J$69:BA$69,$J53:BA53)&lt;0.5, "Pending", IF(BA53&lt;0.5, "Complete", "In Progress"))</f>
        <v>#REF!</v>
      </c>
      <c r="BC53" s="22">
        <v>0</v>
      </c>
      <c r="BD53" s="22" t="e">
        <f t="shared" si="39"/>
        <v>#REF!</v>
      </c>
      <c r="BE53" s="23" t="e">
        <f>IF(SUMPRODUCT($J$69:BD$69,$J53:BD53)&lt;0.5, "Pending", IF(BD53&lt;0.5, "Complete", "In Progress"))</f>
        <v>#REF!</v>
      </c>
      <c r="BF53" s="22">
        <v>0</v>
      </c>
      <c r="BG53" s="22" t="e">
        <f t="shared" si="40"/>
        <v>#REF!</v>
      </c>
      <c r="BH53" s="23" t="e">
        <f>IF(SUMPRODUCT($J$69:BG$69,$J53:BG53)&lt;0.5, "Pending", IF(BG53&lt;0.5, "Complete", "In Progress"))</f>
        <v>#REF!</v>
      </c>
      <c r="BI53" s="22">
        <v>0</v>
      </c>
      <c r="BJ53" s="22" t="e">
        <f t="shared" si="41"/>
        <v>#REF!</v>
      </c>
      <c r="BK53" s="23" t="e">
        <f>IF(SUMPRODUCT($J$69:BJ$69,$J53:BJ53)&lt;0.5, "Pending", IF(BJ53&lt;0.5, "Complete", "In Progress"))</f>
        <v>#REF!</v>
      </c>
      <c r="BL53" s="22">
        <v>0</v>
      </c>
      <c r="BM53" s="22" t="e">
        <f t="shared" si="42"/>
        <v>#REF!</v>
      </c>
      <c r="BN53" s="23" t="e">
        <f>IF(SUMPRODUCT($J$69:BM$69,$J53:BM53)&lt;0.5, "Pending", IF(BM53&lt;0.5, "Complete", "In Progress"))</f>
        <v>#REF!</v>
      </c>
      <c r="BO53" s="22">
        <v>0</v>
      </c>
      <c r="BP53" s="22" t="e">
        <f t="shared" si="43"/>
        <v>#REF!</v>
      </c>
      <c r="BQ53" s="23" t="e">
        <f>IF(SUMPRODUCT($J$69:BP$69,$J53:BP53)&lt;0.5, "Pending", IF(BP53&lt;0.5, "Complete", "In Progress"))</f>
        <v>#REF!</v>
      </c>
      <c r="BR53" s="22">
        <v>0</v>
      </c>
      <c r="BS53" s="22" t="e">
        <f t="shared" si="44"/>
        <v>#REF!</v>
      </c>
      <c r="BT53" s="23" t="e">
        <f>IF(SUMPRODUCT($J$69:BS$69,$J53:BS53)&lt;0.5, "Pending", IF(BS53&lt;0.5, "Complete", "In Progress"))</f>
        <v>#REF!</v>
      </c>
      <c r="BU53" s="22">
        <v>0</v>
      </c>
      <c r="BV53" s="22" t="e">
        <f t="shared" si="45"/>
        <v>#REF!</v>
      </c>
      <c r="BW53" s="23" t="e">
        <f>IF(SUMPRODUCT($J$69:BV$69,$J53:BV53)&lt;0.5, "Pending", IF(BV53&lt;0.5, "Complete", "In Progress"))</f>
        <v>#REF!</v>
      </c>
      <c r="BX53" s="22">
        <v>0</v>
      </c>
      <c r="BY53" s="22" t="e">
        <f t="shared" si="46"/>
        <v>#REF!</v>
      </c>
      <c r="BZ53" s="23" t="e">
        <f>IF(SUMPRODUCT($J$69:BY$69,$J53:BY53)&lt;0.5, "Pending", IF(BY53&lt;0.5, "Complete", "In Progress"))</f>
        <v>#REF!</v>
      </c>
      <c r="CA53" s="22">
        <v>0</v>
      </c>
      <c r="CB53" s="22" t="e">
        <f t="shared" si="47"/>
        <v>#REF!</v>
      </c>
      <c r="CC53" s="23" t="e">
        <f>IF(SUMPRODUCT($J$69:CB$69,$J53:CB53)&lt;0.5, "Pending", IF(CB53&lt;0.5, "Complete", "In Progress"))</f>
        <v>#REF!</v>
      </c>
      <c r="CD53" s="24"/>
      <c r="CE53" s="25">
        <f>SUMPRODUCT($H$69:AY$69,$H53:AY53)</f>
        <v>0</v>
      </c>
    </row>
    <row r="54" spans="1:83" ht="12.75" hidden="1" customHeight="1" x14ac:dyDescent="0.2">
      <c r="A54" s="16"/>
      <c r="B54" s="16"/>
      <c r="C54" s="16"/>
      <c r="D54" s="17"/>
      <c r="E54" s="177"/>
      <c r="F54" s="18" t="s">
        <v>128</v>
      </c>
      <c r="G54" s="19" t="e">
        <f t="shared" ca="1" si="23"/>
        <v>#REF!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IF(SUMPRODUCT($J$69:K$69,$J54:K54)&lt;0.5,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IF(SUMPRODUCT($J$69:N$69,$J54:N54)&lt;0.5,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IF(SUMPRODUCT($J$69:Q$69,$J54:Q54)&lt;0.5,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IF(SUMPRODUCT($J$69:T$69,$J54:T54)&lt;0.5,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IF(SUMPRODUCT($J$69:W$69,$J54:W54)&lt;0.5,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IF(SUMPRODUCT($J$69:Z$69,$J54:Z54)&lt;0.5,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IF(SUMPRODUCT($J$69:AC$69,$J54:AC54)&lt;0.5,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IF(SUMPRODUCT($J$69:AF$69,$J54:AF54)&lt;0.5,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IF(SUMPRODUCT($J$69:AI$69,$J54:AI54)&lt;0.5,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IF(SUMPRODUCT($J$69:AL$69,$J54:AL54)&lt;0.5,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IF(SUMPRODUCT($J$69:AO$69,$J54:AO54)&lt;0.5,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IF(SUMPRODUCT($J$69:AR$69,$J54:AR54)&lt;0.5,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IF(SUMPRODUCT($J$69:AU$69,$J54:AU54)&lt;0.5,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IF(SUMPRODUCT($J$69:AX$69,$J54:AX54)&lt;0.5,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IF(SUMPRODUCT($J$69:BA$69,$J54:BA54)&lt;0.5, "Pending", IF(BA54&lt;0.5, "Complete", "In Progress"))</f>
        <v>#REF!</v>
      </c>
      <c r="BC54" s="22">
        <v>0</v>
      </c>
      <c r="BD54" s="22" t="e">
        <f t="shared" si="39"/>
        <v>#REF!</v>
      </c>
      <c r="BE54" s="23" t="e">
        <f>IF(SUMPRODUCT($J$69:BD$69,$J54:BD54)&lt;0.5, "Pending", IF(BD54&lt;0.5, "Complete", "In Progress"))</f>
        <v>#REF!</v>
      </c>
      <c r="BF54" s="22">
        <v>0</v>
      </c>
      <c r="BG54" s="22" t="e">
        <f t="shared" si="40"/>
        <v>#REF!</v>
      </c>
      <c r="BH54" s="23" t="e">
        <f>IF(SUMPRODUCT($J$69:BG$69,$J54:BG54)&lt;0.5, "Pending", IF(BG54&lt;0.5, "Complete", "In Progress"))</f>
        <v>#REF!</v>
      </c>
      <c r="BI54" s="22">
        <v>0</v>
      </c>
      <c r="BJ54" s="22" t="e">
        <f t="shared" si="41"/>
        <v>#REF!</v>
      </c>
      <c r="BK54" s="23" t="e">
        <f>IF(SUMPRODUCT($J$69:BJ$69,$J54:BJ54)&lt;0.5, "Pending", IF(BJ54&lt;0.5, "Complete", "In Progress"))</f>
        <v>#REF!</v>
      </c>
      <c r="BL54" s="22">
        <v>0</v>
      </c>
      <c r="BM54" s="22" t="e">
        <f t="shared" si="42"/>
        <v>#REF!</v>
      </c>
      <c r="BN54" s="23" t="e">
        <f>IF(SUMPRODUCT($J$69:BM$69,$J54:BM54)&lt;0.5, "Pending", IF(BM54&lt;0.5, "Complete", "In Progress"))</f>
        <v>#REF!</v>
      </c>
      <c r="BO54" s="22">
        <v>0</v>
      </c>
      <c r="BP54" s="22" t="e">
        <f t="shared" si="43"/>
        <v>#REF!</v>
      </c>
      <c r="BQ54" s="23" t="e">
        <f>IF(SUMPRODUCT($J$69:BP$69,$J54:BP54)&lt;0.5, "Pending", IF(BP54&lt;0.5, "Complete", "In Progress"))</f>
        <v>#REF!</v>
      </c>
      <c r="BR54" s="22">
        <v>0</v>
      </c>
      <c r="BS54" s="22" t="e">
        <f t="shared" si="44"/>
        <v>#REF!</v>
      </c>
      <c r="BT54" s="23" t="e">
        <f>IF(SUMPRODUCT($J$69:BS$69,$J54:BS54)&lt;0.5, "Pending", IF(BS54&lt;0.5, "Complete", "In Progress"))</f>
        <v>#REF!</v>
      </c>
      <c r="BU54" s="22">
        <v>0</v>
      </c>
      <c r="BV54" s="22" t="e">
        <f t="shared" si="45"/>
        <v>#REF!</v>
      </c>
      <c r="BW54" s="23" t="e">
        <f>IF(SUMPRODUCT($J$69:BV$69,$J54:BV54)&lt;0.5, "Pending", IF(BV54&lt;0.5, "Complete", "In Progress"))</f>
        <v>#REF!</v>
      </c>
      <c r="BX54" s="22">
        <v>0</v>
      </c>
      <c r="BY54" s="22" t="e">
        <f t="shared" si="46"/>
        <v>#REF!</v>
      </c>
      <c r="BZ54" s="23" t="e">
        <f>IF(SUMPRODUCT($J$69:BY$69,$J54:BY54)&lt;0.5, "Pending", IF(BY54&lt;0.5, "Complete", "In Progress"))</f>
        <v>#REF!</v>
      </c>
      <c r="CA54" s="22">
        <v>0</v>
      </c>
      <c r="CB54" s="22" t="e">
        <f t="shared" si="47"/>
        <v>#REF!</v>
      </c>
      <c r="CC54" s="23" t="e">
        <f>IF(SUMPRODUCT($J$69:CB$69,$J54:CB54)&lt;0.5, "Pending", IF(CB54&lt;0.5, "Complete", "In Progress"))</f>
        <v>#REF!</v>
      </c>
      <c r="CD54" s="24"/>
      <c r="CE54" s="25">
        <f>SUMPRODUCT($H$69:AY$69,$H54:AY54)</f>
        <v>0</v>
      </c>
    </row>
    <row r="55" spans="1:83" ht="12.75" hidden="1" customHeight="1" x14ac:dyDescent="0.2">
      <c r="A55" s="16"/>
      <c r="B55" s="16"/>
      <c r="C55" s="16"/>
      <c r="D55" s="17"/>
      <c r="E55" s="177"/>
      <c r="F55" s="18" t="s">
        <v>128</v>
      </c>
      <c r="G55" s="19" t="e">
        <f t="shared" ca="1" si="23"/>
        <v>#REF!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IF(SUMPRODUCT($J$69:K$69,$J55:K55)&lt;0.5,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IF(SUMPRODUCT($J$69:N$69,$J55:N55)&lt;0.5,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IF(SUMPRODUCT($J$69:Q$69,$J55:Q55)&lt;0.5,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IF(SUMPRODUCT($J$69:T$69,$J55:T55)&lt;0.5,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IF(SUMPRODUCT($J$69:W$69,$J55:W55)&lt;0.5,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IF(SUMPRODUCT($J$69:Z$69,$J55:Z55)&lt;0.5,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IF(SUMPRODUCT($J$69:AC$69,$J55:AC55)&lt;0.5,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IF(SUMPRODUCT($J$69:AF$69,$J55:AF55)&lt;0.5,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IF(SUMPRODUCT($J$69:AI$69,$J55:AI55)&lt;0.5,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IF(SUMPRODUCT($J$69:AL$69,$J55:AL55)&lt;0.5,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IF(SUMPRODUCT($J$69:AO$69,$J55:AO55)&lt;0.5,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IF(SUMPRODUCT($J$69:AR$69,$J55:AR55)&lt;0.5,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IF(SUMPRODUCT($J$69:AU$69,$J55:AU55)&lt;0.5,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IF(SUMPRODUCT($J$69:AX$69,$J55:AX55)&lt;0.5,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IF(SUMPRODUCT($J$69:BA$69,$J55:BA55)&lt;0.5, "Pending", IF(BA55&lt;0.5, "Complete", "In Progress"))</f>
        <v>#REF!</v>
      </c>
      <c r="BC55" s="22">
        <v>0</v>
      </c>
      <c r="BD55" s="22" t="e">
        <f t="shared" si="39"/>
        <v>#REF!</v>
      </c>
      <c r="BE55" s="23" t="e">
        <f>IF(SUMPRODUCT($J$69:BD$69,$J55:BD55)&lt;0.5, "Pending", IF(BD55&lt;0.5, "Complete", "In Progress"))</f>
        <v>#REF!</v>
      </c>
      <c r="BF55" s="22">
        <v>0</v>
      </c>
      <c r="BG55" s="22" t="e">
        <f t="shared" si="40"/>
        <v>#REF!</v>
      </c>
      <c r="BH55" s="23" t="e">
        <f>IF(SUMPRODUCT($J$69:BG$69,$J55:BG55)&lt;0.5, "Pending", IF(BG55&lt;0.5, "Complete", "In Progress"))</f>
        <v>#REF!</v>
      </c>
      <c r="BI55" s="22">
        <v>0</v>
      </c>
      <c r="BJ55" s="22" t="e">
        <f t="shared" si="41"/>
        <v>#REF!</v>
      </c>
      <c r="BK55" s="23" t="e">
        <f>IF(SUMPRODUCT($J$69:BJ$69,$J55:BJ55)&lt;0.5, "Pending", IF(BJ55&lt;0.5, "Complete", "In Progress"))</f>
        <v>#REF!</v>
      </c>
      <c r="BL55" s="22">
        <v>0</v>
      </c>
      <c r="BM55" s="22" t="e">
        <f t="shared" si="42"/>
        <v>#REF!</v>
      </c>
      <c r="BN55" s="23" t="e">
        <f>IF(SUMPRODUCT($J$69:BM$69,$J55:BM55)&lt;0.5, "Pending", IF(BM55&lt;0.5, "Complete", "In Progress"))</f>
        <v>#REF!</v>
      </c>
      <c r="BO55" s="22">
        <v>0</v>
      </c>
      <c r="BP55" s="22" t="e">
        <f t="shared" si="43"/>
        <v>#REF!</v>
      </c>
      <c r="BQ55" s="23" t="e">
        <f>IF(SUMPRODUCT($J$69:BP$69,$J55:BP55)&lt;0.5, "Pending", IF(BP55&lt;0.5, "Complete", "In Progress"))</f>
        <v>#REF!</v>
      </c>
      <c r="BR55" s="22">
        <v>0</v>
      </c>
      <c r="BS55" s="22" t="e">
        <f t="shared" si="44"/>
        <v>#REF!</v>
      </c>
      <c r="BT55" s="23" t="e">
        <f>IF(SUMPRODUCT($J$69:BS$69,$J55:BS55)&lt;0.5, "Pending", IF(BS55&lt;0.5, "Complete", "In Progress"))</f>
        <v>#REF!</v>
      </c>
      <c r="BU55" s="22">
        <v>0</v>
      </c>
      <c r="BV55" s="22" t="e">
        <f t="shared" si="45"/>
        <v>#REF!</v>
      </c>
      <c r="BW55" s="23" t="e">
        <f>IF(SUMPRODUCT($J$69:BV$69,$J55:BV55)&lt;0.5, "Pending", IF(BV55&lt;0.5, "Complete", "In Progress"))</f>
        <v>#REF!</v>
      </c>
      <c r="BX55" s="22">
        <v>0</v>
      </c>
      <c r="BY55" s="22" t="e">
        <f t="shared" si="46"/>
        <v>#REF!</v>
      </c>
      <c r="BZ55" s="23" t="e">
        <f>IF(SUMPRODUCT($J$69:BY$69,$J55:BY55)&lt;0.5, "Pending", IF(BY55&lt;0.5, "Complete", "In Progress"))</f>
        <v>#REF!</v>
      </c>
      <c r="CA55" s="22">
        <v>0</v>
      </c>
      <c r="CB55" s="22" t="e">
        <f t="shared" si="47"/>
        <v>#REF!</v>
      </c>
      <c r="CC55" s="23" t="e">
        <f>IF(SUMPRODUCT($J$69:CB$69,$J55:CB55)&lt;0.5, "Pending", IF(CB55&lt;0.5, "Complete", "In Progress"))</f>
        <v>#REF!</v>
      </c>
      <c r="CD55" s="24"/>
      <c r="CE55" s="25">
        <f>SUMPRODUCT($H$69:AY$69,$H55:AY55)</f>
        <v>0</v>
      </c>
    </row>
    <row r="56" spans="1:83" ht="12.75" hidden="1" customHeight="1" x14ac:dyDescent="0.2">
      <c r="A56" s="16"/>
      <c r="B56" s="16"/>
      <c r="C56" s="16"/>
      <c r="D56" s="17"/>
      <c r="E56" s="177"/>
      <c r="F56" s="18" t="s">
        <v>128</v>
      </c>
      <c r="G56" s="19" t="e">
        <f t="shared" ca="1" si="23"/>
        <v>#REF!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IF(SUMPRODUCT($J$69:K$69,$J56:K56)&lt;0.5,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IF(SUMPRODUCT($J$69:N$69,$J56:N56)&lt;0.5,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IF(SUMPRODUCT($J$69:Q$69,$J56:Q56)&lt;0.5,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IF(SUMPRODUCT($J$69:T$69,$J56:T56)&lt;0.5,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IF(SUMPRODUCT($J$69:W$69,$J56:W56)&lt;0.5,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IF(SUMPRODUCT($J$69:Z$69,$J56:Z56)&lt;0.5,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IF(SUMPRODUCT($J$69:AC$69,$J56:AC56)&lt;0.5,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IF(SUMPRODUCT($J$69:AF$69,$J56:AF56)&lt;0.5,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IF(SUMPRODUCT($J$69:AI$69,$J56:AI56)&lt;0.5,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IF(SUMPRODUCT($J$69:AL$69,$J56:AL56)&lt;0.5,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IF(SUMPRODUCT($J$69:AO$69,$J56:AO56)&lt;0.5,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IF(SUMPRODUCT($J$69:AR$69,$J56:AR56)&lt;0.5,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IF(SUMPRODUCT($J$69:AU$69,$J56:AU56)&lt;0.5,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IF(SUMPRODUCT($J$69:AX$69,$J56:AX56)&lt;0.5,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IF(SUMPRODUCT($J$69:BA$69,$J56:BA56)&lt;0.5, "Pending", IF(BA56&lt;0.5, "Complete", "In Progress"))</f>
        <v>#REF!</v>
      </c>
      <c r="BC56" s="22">
        <v>0</v>
      </c>
      <c r="BD56" s="22" t="e">
        <f t="shared" si="39"/>
        <v>#REF!</v>
      </c>
      <c r="BE56" s="23" t="e">
        <f>IF(SUMPRODUCT($J$69:BD$69,$J56:BD56)&lt;0.5, "Pending", IF(BD56&lt;0.5, "Complete", "In Progress"))</f>
        <v>#REF!</v>
      </c>
      <c r="BF56" s="22">
        <v>0</v>
      </c>
      <c r="BG56" s="22" t="e">
        <f t="shared" si="40"/>
        <v>#REF!</v>
      </c>
      <c r="BH56" s="23" t="e">
        <f>IF(SUMPRODUCT($J$69:BG$69,$J56:BG56)&lt;0.5, "Pending", IF(BG56&lt;0.5, "Complete", "In Progress"))</f>
        <v>#REF!</v>
      </c>
      <c r="BI56" s="22">
        <v>0</v>
      </c>
      <c r="BJ56" s="22" t="e">
        <f t="shared" si="41"/>
        <v>#REF!</v>
      </c>
      <c r="BK56" s="23" t="e">
        <f>IF(SUMPRODUCT($J$69:BJ$69,$J56:BJ56)&lt;0.5, "Pending", IF(BJ56&lt;0.5, "Complete", "In Progress"))</f>
        <v>#REF!</v>
      </c>
      <c r="BL56" s="22">
        <v>0</v>
      </c>
      <c r="BM56" s="22" t="e">
        <f t="shared" si="42"/>
        <v>#REF!</v>
      </c>
      <c r="BN56" s="23" t="e">
        <f>IF(SUMPRODUCT($J$69:BM$69,$J56:BM56)&lt;0.5, "Pending", IF(BM56&lt;0.5, "Complete", "In Progress"))</f>
        <v>#REF!</v>
      </c>
      <c r="BO56" s="22">
        <v>0</v>
      </c>
      <c r="BP56" s="22" t="e">
        <f t="shared" si="43"/>
        <v>#REF!</v>
      </c>
      <c r="BQ56" s="23" t="e">
        <f>IF(SUMPRODUCT($J$69:BP$69,$J56:BP56)&lt;0.5, "Pending", IF(BP56&lt;0.5, "Complete", "In Progress"))</f>
        <v>#REF!</v>
      </c>
      <c r="BR56" s="22">
        <v>0</v>
      </c>
      <c r="BS56" s="22" t="e">
        <f t="shared" si="44"/>
        <v>#REF!</v>
      </c>
      <c r="BT56" s="23" t="e">
        <f>IF(SUMPRODUCT($J$69:BS$69,$J56:BS56)&lt;0.5, "Pending", IF(BS56&lt;0.5, "Complete", "In Progress"))</f>
        <v>#REF!</v>
      </c>
      <c r="BU56" s="22">
        <v>0</v>
      </c>
      <c r="BV56" s="22" t="e">
        <f t="shared" si="45"/>
        <v>#REF!</v>
      </c>
      <c r="BW56" s="23" t="e">
        <f>IF(SUMPRODUCT($J$69:BV$69,$J56:BV56)&lt;0.5, "Pending", IF(BV56&lt;0.5, "Complete", "In Progress"))</f>
        <v>#REF!</v>
      </c>
      <c r="BX56" s="22">
        <v>0</v>
      </c>
      <c r="BY56" s="22" t="e">
        <f t="shared" si="46"/>
        <v>#REF!</v>
      </c>
      <c r="BZ56" s="23" t="e">
        <f>IF(SUMPRODUCT($J$69:BY$69,$J56:BY56)&lt;0.5, "Pending", IF(BY56&lt;0.5, "Complete", "In Progress"))</f>
        <v>#REF!</v>
      </c>
      <c r="CA56" s="22">
        <v>0</v>
      </c>
      <c r="CB56" s="22" t="e">
        <f t="shared" si="47"/>
        <v>#REF!</v>
      </c>
      <c r="CC56" s="23" t="e">
        <f>IF(SUMPRODUCT($J$69:CB$69,$J56:CB56)&lt;0.5, "Pending", IF(CB56&lt;0.5, "Complete", "In Progress"))</f>
        <v>#REF!</v>
      </c>
      <c r="CD56" s="24"/>
      <c r="CE56" s="25">
        <f>SUMPRODUCT($H$69:AY$69,$H56:AY56)</f>
        <v>0</v>
      </c>
    </row>
    <row r="57" spans="1:83" ht="12.75" hidden="1" customHeight="1" x14ac:dyDescent="0.2">
      <c r="A57" s="16"/>
      <c r="B57" s="16"/>
      <c r="C57" s="16"/>
      <c r="D57" s="17"/>
      <c r="E57" s="177"/>
      <c r="F57" s="18" t="s">
        <v>128</v>
      </c>
      <c r="G57" s="19" t="e">
        <f t="shared" ca="1" si="23"/>
        <v>#REF!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IF(SUMPRODUCT($J$69:K$69,$J57:K57)&lt;0.5,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IF(SUMPRODUCT($J$69:N$69,$J57:N57)&lt;0.5,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IF(SUMPRODUCT($J$69:Q$69,$J57:Q57)&lt;0.5,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IF(SUMPRODUCT($J$69:T$69,$J57:T57)&lt;0.5,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IF(SUMPRODUCT($J$69:W$69,$J57:W57)&lt;0.5,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IF(SUMPRODUCT($J$69:Z$69,$J57:Z57)&lt;0.5,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IF(SUMPRODUCT($J$69:AC$69,$J57:AC57)&lt;0.5,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IF(SUMPRODUCT($J$69:AF$69,$J57:AF57)&lt;0.5,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IF(SUMPRODUCT($J$69:AI$69,$J57:AI57)&lt;0.5,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IF(SUMPRODUCT($J$69:AL$69,$J57:AL57)&lt;0.5,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IF(SUMPRODUCT($J$69:AO$69,$J57:AO57)&lt;0.5,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IF(SUMPRODUCT($J$69:AR$69,$J57:AR57)&lt;0.5,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IF(SUMPRODUCT($J$69:AU$69,$J57:AU57)&lt;0.5,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IF(SUMPRODUCT($J$69:AX$69,$J57:AX57)&lt;0.5,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IF(SUMPRODUCT($J$69:BA$69,$J57:BA57)&lt;0.5, "Pending", IF(BA57&lt;0.5, "Complete", "In Progress"))</f>
        <v>#REF!</v>
      </c>
      <c r="BC57" s="22">
        <v>0</v>
      </c>
      <c r="BD57" s="22" t="e">
        <f t="shared" si="39"/>
        <v>#REF!</v>
      </c>
      <c r="BE57" s="23" t="e">
        <f>IF(SUMPRODUCT($J$69:BD$69,$J57:BD57)&lt;0.5, "Pending", IF(BD57&lt;0.5, "Complete", "In Progress"))</f>
        <v>#REF!</v>
      </c>
      <c r="BF57" s="22">
        <v>0</v>
      </c>
      <c r="BG57" s="22" t="e">
        <f t="shared" si="40"/>
        <v>#REF!</v>
      </c>
      <c r="BH57" s="23" t="e">
        <f>IF(SUMPRODUCT($J$69:BG$69,$J57:BG57)&lt;0.5, "Pending", IF(BG57&lt;0.5, "Complete", "In Progress"))</f>
        <v>#REF!</v>
      </c>
      <c r="BI57" s="22">
        <v>0</v>
      </c>
      <c r="BJ57" s="22" t="e">
        <f t="shared" si="41"/>
        <v>#REF!</v>
      </c>
      <c r="BK57" s="23" t="e">
        <f>IF(SUMPRODUCT($J$69:BJ$69,$J57:BJ57)&lt;0.5, "Pending", IF(BJ57&lt;0.5, "Complete", "In Progress"))</f>
        <v>#REF!</v>
      </c>
      <c r="BL57" s="22">
        <v>0</v>
      </c>
      <c r="BM57" s="22" t="e">
        <f t="shared" si="42"/>
        <v>#REF!</v>
      </c>
      <c r="BN57" s="23" t="e">
        <f>IF(SUMPRODUCT($J$69:BM$69,$J57:BM57)&lt;0.5, "Pending", IF(BM57&lt;0.5, "Complete", "In Progress"))</f>
        <v>#REF!</v>
      </c>
      <c r="BO57" s="22">
        <v>0</v>
      </c>
      <c r="BP57" s="22" t="e">
        <f t="shared" si="43"/>
        <v>#REF!</v>
      </c>
      <c r="BQ57" s="23" t="e">
        <f>IF(SUMPRODUCT($J$69:BP$69,$J57:BP57)&lt;0.5, "Pending", IF(BP57&lt;0.5, "Complete", "In Progress"))</f>
        <v>#REF!</v>
      </c>
      <c r="BR57" s="22">
        <v>0</v>
      </c>
      <c r="BS57" s="22" t="e">
        <f t="shared" si="44"/>
        <v>#REF!</v>
      </c>
      <c r="BT57" s="23" t="e">
        <f>IF(SUMPRODUCT($J$69:BS$69,$J57:BS57)&lt;0.5, "Pending", IF(BS57&lt;0.5, "Complete", "In Progress"))</f>
        <v>#REF!</v>
      </c>
      <c r="BU57" s="22">
        <v>0</v>
      </c>
      <c r="BV57" s="22" t="e">
        <f t="shared" si="45"/>
        <v>#REF!</v>
      </c>
      <c r="BW57" s="23" t="e">
        <f>IF(SUMPRODUCT($J$69:BV$69,$J57:BV57)&lt;0.5, "Pending", IF(BV57&lt;0.5, "Complete", "In Progress"))</f>
        <v>#REF!</v>
      </c>
      <c r="BX57" s="22">
        <v>0</v>
      </c>
      <c r="BY57" s="22" t="e">
        <f t="shared" si="46"/>
        <v>#REF!</v>
      </c>
      <c r="BZ57" s="23" t="e">
        <f>IF(SUMPRODUCT($J$69:BY$69,$J57:BY57)&lt;0.5, "Pending", IF(BY57&lt;0.5, "Complete", "In Progress"))</f>
        <v>#REF!</v>
      </c>
      <c r="CA57" s="22">
        <v>0</v>
      </c>
      <c r="CB57" s="22" t="e">
        <f t="shared" si="47"/>
        <v>#REF!</v>
      </c>
      <c r="CC57" s="23" t="e">
        <f>IF(SUMPRODUCT($J$69:CB$69,$J57:CB57)&lt;0.5, "Pending", IF(CB57&lt;0.5, "Complete", "In Progress"))</f>
        <v>#REF!</v>
      </c>
      <c r="CD57" s="24"/>
      <c r="CE57" s="25">
        <f>SUMPRODUCT($H$69:AY$69,$H57:AY57)</f>
        <v>0</v>
      </c>
    </row>
    <row r="58" spans="1:83" ht="12.75" hidden="1" customHeight="1" x14ac:dyDescent="0.2">
      <c r="A58" s="16"/>
      <c r="B58" s="16"/>
      <c r="C58" s="16"/>
      <c r="D58" s="17"/>
      <c r="E58" s="177"/>
      <c r="F58" s="18" t="s">
        <v>128</v>
      </c>
      <c r="G58" s="19" t="e">
        <f t="shared" ca="1" si="23"/>
        <v>#REF!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IF(SUMPRODUCT($J$69:K$69,$J58:K58)&lt;0.5,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IF(SUMPRODUCT($J$69:N$69,$J58:N58)&lt;0.5,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IF(SUMPRODUCT($J$69:Q$69,$J58:Q58)&lt;0.5,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IF(SUMPRODUCT($J$69:T$69,$J58:T58)&lt;0.5,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IF(SUMPRODUCT($J$69:W$69,$J58:W58)&lt;0.5,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IF(SUMPRODUCT($J$69:Z$69,$J58:Z58)&lt;0.5,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IF(SUMPRODUCT($J$69:AC$69,$J58:AC58)&lt;0.5,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IF(SUMPRODUCT($J$69:AF$69,$J58:AF58)&lt;0.5,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IF(SUMPRODUCT($J$69:AI$69,$J58:AI58)&lt;0.5,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IF(SUMPRODUCT($J$69:AL$69,$J58:AL58)&lt;0.5,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IF(SUMPRODUCT($J$69:AO$69,$J58:AO58)&lt;0.5,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IF(SUMPRODUCT($J$69:AR$69,$J58:AR58)&lt;0.5,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IF(SUMPRODUCT($J$69:AU$69,$J58:AU58)&lt;0.5,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IF(SUMPRODUCT($J$69:AX$69,$J58:AX58)&lt;0.5,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IF(SUMPRODUCT($J$69:BA$69,$J58:BA58)&lt;0.5, "Pending", IF(BA58&lt;0.5, "Complete", "In Progress"))</f>
        <v>#REF!</v>
      </c>
      <c r="BC58" s="22">
        <v>0</v>
      </c>
      <c r="BD58" s="22" t="e">
        <f t="shared" si="39"/>
        <v>#REF!</v>
      </c>
      <c r="BE58" s="23" t="e">
        <f>IF(SUMPRODUCT($J$69:BD$69,$J58:BD58)&lt;0.5, "Pending", IF(BD58&lt;0.5, "Complete", "In Progress"))</f>
        <v>#REF!</v>
      </c>
      <c r="BF58" s="22">
        <v>0</v>
      </c>
      <c r="BG58" s="22" t="e">
        <f t="shared" si="40"/>
        <v>#REF!</v>
      </c>
      <c r="BH58" s="23" t="e">
        <f>IF(SUMPRODUCT($J$69:BG$69,$J58:BG58)&lt;0.5, "Pending", IF(BG58&lt;0.5, "Complete", "In Progress"))</f>
        <v>#REF!</v>
      </c>
      <c r="BI58" s="22">
        <v>0</v>
      </c>
      <c r="BJ58" s="22" t="e">
        <f t="shared" si="41"/>
        <v>#REF!</v>
      </c>
      <c r="BK58" s="23" t="e">
        <f>IF(SUMPRODUCT($J$69:BJ$69,$J58:BJ58)&lt;0.5, "Pending", IF(BJ58&lt;0.5, "Complete", "In Progress"))</f>
        <v>#REF!</v>
      </c>
      <c r="BL58" s="22">
        <v>0</v>
      </c>
      <c r="BM58" s="22" t="e">
        <f t="shared" si="42"/>
        <v>#REF!</v>
      </c>
      <c r="BN58" s="23" t="e">
        <f>IF(SUMPRODUCT($J$69:BM$69,$J58:BM58)&lt;0.5, "Pending", IF(BM58&lt;0.5, "Complete", "In Progress"))</f>
        <v>#REF!</v>
      </c>
      <c r="BO58" s="22">
        <v>0</v>
      </c>
      <c r="BP58" s="22" t="e">
        <f t="shared" si="43"/>
        <v>#REF!</v>
      </c>
      <c r="BQ58" s="23" t="e">
        <f>IF(SUMPRODUCT($J$69:BP$69,$J58:BP58)&lt;0.5, "Pending", IF(BP58&lt;0.5, "Complete", "In Progress"))</f>
        <v>#REF!</v>
      </c>
      <c r="BR58" s="22">
        <v>0</v>
      </c>
      <c r="BS58" s="22" t="e">
        <f t="shared" si="44"/>
        <v>#REF!</v>
      </c>
      <c r="BT58" s="23" t="e">
        <f>IF(SUMPRODUCT($J$69:BS$69,$J58:BS58)&lt;0.5, "Pending", IF(BS58&lt;0.5, "Complete", "In Progress"))</f>
        <v>#REF!</v>
      </c>
      <c r="BU58" s="22">
        <v>0</v>
      </c>
      <c r="BV58" s="22" t="e">
        <f t="shared" si="45"/>
        <v>#REF!</v>
      </c>
      <c r="BW58" s="23" t="e">
        <f>IF(SUMPRODUCT($J$69:BV$69,$J58:BV58)&lt;0.5, "Pending", IF(BV58&lt;0.5, "Complete", "In Progress"))</f>
        <v>#REF!</v>
      </c>
      <c r="BX58" s="22">
        <v>0</v>
      </c>
      <c r="BY58" s="22" t="e">
        <f t="shared" si="46"/>
        <v>#REF!</v>
      </c>
      <c r="BZ58" s="23" t="e">
        <f>IF(SUMPRODUCT($J$69:BY$69,$J58:BY58)&lt;0.5, "Pending", IF(BY58&lt;0.5, "Complete", "In Progress"))</f>
        <v>#REF!</v>
      </c>
      <c r="CA58" s="22">
        <v>0</v>
      </c>
      <c r="CB58" s="22" t="e">
        <f t="shared" si="47"/>
        <v>#REF!</v>
      </c>
      <c r="CC58" s="23" t="e">
        <f>IF(SUMPRODUCT($J$69:CB$69,$J58:CB58)&lt;0.5, "Pending", IF(CB58&lt;0.5, "Complete", "In Progress"))</f>
        <v>#REF!</v>
      </c>
      <c r="CD58" s="24"/>
      <c r="CE58" s="25">
        <f>SUMPRODUCT($H$69:AY$69,$H58:AY58)</f>
        <v>0</v>
      </c>
    </row>
    <row r="59" spans="1:83" ht="12.75" hidden="1" customHeight="1" x14ac:dyDescent="0.2">
      <c r="A59" s="16"/>
      <c r="B59" s="16"/>
      <c r="C59" s="16"/>
      <c r="D59" s="17"/>
      <c r="E59" s="177"/>
      <c r="F59" s="18" t="s">
        <v>128</v>
      </c>
      <c r="G59" s="19" t="e">
        <f t="shared" ca="1" si="23"/>
        <v>#REF!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IF(SUMPRODUCT($J$69:K$69,$J59:K59)&lt;0.5,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IF(SUMPRODUCT($J$69:N$69,$J59:N59)&lt;0.5,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IF(SUMPRODUCT($J$69:Q$69,$J59:Q59)&lt;0.5,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IF(SUMPRODUCT($J$69:T$69,$J59:T59)&lt;0.5,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IF(SUMPRODUCT($J$69:W$69,$J59:W59)&lt;0.5,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IF(SUMPRODUCT($J$69:Z$69,$J59:Z59)&lt;0.5,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IF(SUMPRODUCT($J$69:AC$69,$J59:AC59)&lt;0.5,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IF(SUMPRODUCT($J$69:AF$69,$J59:AF59)&lt;0.5,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IF(SUMPRODUCT($J$69:AI$69,$J59:AI59)&lt;0.5,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IF(SUMPRODUCT($J$69:AL$69,$J59:AL59)&lt;0.5,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IF(SUMPRODUCT($J$69:AO$69,$J59:AO59)&lt;0.5,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IF(SUMPRODUCT($J$69:AR$69,$J59:AR59)&lt;0.5,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IF(SUMPRODUCT($J$69:AU$69,$J59:AU59)&lt;0.5,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IF(SUMPRODUCT($J$69:AX$69,$J59:AX59)&lt;0.5,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IF(SUMPRODUCT($J$69:BA$69,$J59:BA59)&lt;0.5, "Pending", IF(BA59&lt;0.5, "Complete", "In Progress"))</f>
        <v>#REF!</v>
      </c>
      <c r="BC59" s="22">
        <v>0</v>
      </c>
      <c r="BD59" s="22" t="e">
        <f t="shared" si="39"/>
        <v>#REF!</v>
      </c>
      <c r="BE59" s="23" t="e">
        <f>IF(SUMPRODUCT($J$69:BD$69,$J59:BD59)&lt;0.5, "Pending", IF(BD59&lt;0.5, "Complete", "In Progress"))</f>
        <v>#REF!</v>
      </c>
      <c r="BF59" s="22">
        <v>0</v>
      </c>
      <c r="BG59" s="22" t="e">
        <f t="shared" si="40"/>
        <v>#REF!</v>
      </c>
      <c r="BH59" s="23" t="e">
        <f>IF(SUMPRODUCT($J$69:BG$69,$J59:BG59)&lt;0.5, "Pending", IF(BG59&lt;0.5, "Complete", "In Progress"))</f>
        <v>#REF!</v>
      </c>
      <c r="BI59" s="22">
        <v>0</v>
      </c>
      <c r="BJ59" s="22" t="e">
        <f t="shared" si="41"/>
        <v>#REF!</v>
      </c>
      <c r="BK59" s="23" t="e">
        <f>IF(SUMPRODUCT($J$69:BJ$69,$J59:BJ59)&lt;0.5, "Pending", IF(BJ59&lt;0.5, "Complete", "In Progress"))</f>
        <v>#REF!</v>
      </c>
      <c r="BL59" s="22">
        <v>0</v>
      </c>
      <c r="BM59" s="22" t="e">
        <f t="shared" si="42"/>
        <v>#REF!</v>
      </c>
      <c r="BN59" s="23" t="e">
        <f>IF(SUMPRODUCT($J$69:BM$69,$J59:BM59)&lt;0.5, "Pending", IF(BM59&lt;0.5, "Complete", "In Progress"))</f>
        <v>#REF!</v>
      </c>
      <c r="BO59" s="22">
        <v>0</v>
      </c>
      <c r="BP59" s="22" t="e">
        <f t="shared" si="43"/>
        <v>#REF!</v>
      </c>
      <c r="BQ59" s="23" t="e">
        <f>IF(SUMPRODUCT($J$69:BP$69,$J59:BP59)&lt;0.5, "Pending", IF(BP59&lt;0.5, "Complete", "In Progress"))</f>
        <v>#REF!</v>
      </c>
      <c r="BR59" s="22">
        <v>0</v>
      </c>
      <c r="BS59" s="22" t="e">
        <f t="shared" si="44"/>
        <v>#REF!</v>
      </c>
      <c r="BT59" s="23" t="e">
        <f>IF(SUMPRODUCT($J$69:BS$69,$J59:BS59)&lt;0.5, "Pending", IF(BS59&lt;0.5, "Complete", "In Progress"))</f>
        <v>#REF!</v>
      </c>
      <c r="BU59" s="22">
        <v>0</v>
      </c>
      <c r="BV59" s="22" t="e">
        <f t="shared" si="45"/>
        <v>#REF!</v>
      </c>
      <c r="BW59" s="23" t="e">
        <f>IF(SUMPRODUCT($J$69:BV$69,$J59:BV59)&lt;0.5, "Pending", IF(BV59&lt;0.5, "Complete", "In Progress"))</f>
        <v>#REF!</v>
      </c>
      <c r="BX59" s="22">
        <v>0</v>
      </c>
      <c r="BY59" s="22" t="e">
        <f t="shared" si="46"/>
        <v>#REF!</v>
      </c>
      <c r="BZ59" s="23" t="e">
        <f>IF(SUMPRODUCT($J$69:BY$69,$J59:BY59)&lt;0.5, "Pending", IF(BY59&lt;0.5, "Complete", "In Progress"))</f>
        <v>#REF!</v>
      </c>
      <c r="CA59" s="22">
        <v>0</v>
      </c>
      <c r="CB59" s="22" t="e">
        <f t="shared" si="47"/>
        <v>#REF!</v>
      </c>
      <c r="CC59" s="23" t="e">
        <f>IF(SUMPRODUCT($J$69:CB$69,$J59:CB59)&lt;0.5, "Pending", IF(CB59&lt;0.5, "Complete", "In Progress"))</f>
        <v>#REF!</v>
      </c>
      <c r="CD59" s="24"/>
      <c r="CE59" s="25">
        <f>SUMPRODUCT($H$69:AY$69,$H59:AY59)</f>
        <v>0</v>
      </c>
    </row>
    <row r="60" spans="1:83" ht="12.75" hidden="1" customHeight="1" x14ac:dyDescent="0.2">
      <c r="A60" s="16"/>
      <c r="B60" s="16"/>
      <c r="C60" s="16"/>
      <c r="D60" s="17"/>
      <c r="E60" s="177"/>
      <c r="F60" s="18" t="s">
        <v>128</v>
      </c>
      <c r="G60" s="19" t="e">
        <f t="shared" ca="1" si="23"/>
        <v>#REF!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IF(SUMPRODUCT($J$69:K$69,$J60:K60)&lt;0.5,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IF(SUMPRODUCT($J$69:N$69,$J60:N60)&lt;0.5,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IF(SUMPRODUCT($J$69:Q$69,$J60:Q60)&lt;0.5,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IF(SUMPRODUCT($J$69:T$69,$J60:T60)&lt;0.5,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IF(SUMPRODUCT($J$69:W$69,$J60:W60)&lt;0.5,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IF(SUMPRODUCT($J$69:Z$69,$J60:Z60)&lt;0.5,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IF(SUMPRODUCT($J$69:AC$69,$J60:AC60)&lt;0.5,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IF(SUMPRODUCT($J$69:AF$69,$J60:AF60)&lt;0.5,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IF(SUMPRODUCT($J$69:AI$69,$J60:AI60)&lt;0.5,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IF(SUMPRODUCT($J$69:AL$69,$J60:AL60)&lt;0.5,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IF(SUMPRODUCT($J$69:AO$69,$J60:AO60)&lt;0.5,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IF(SUMPRODUCT($J$69:AR$69,$J60:AR60)&lt;0.5,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IF(SUMPRODUCT($J$69:AU$69,$J60:AU60)&lt;0.5,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IF(SUMPRODUCT($J$69:AX$69,$J60:AX60)&lt;0.5,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IF(SUMPRODUCT($J$69:BA$69,$J60:BA60)&lt;0.5, "Pending", IF(BA60&lt;0.5, "Complete", "In Progress"))</f>
        <v>#REF!</v>
      </c>
      <c r="BC60" s="22">
        <v>0</v>
      </c>
      <c r="BD60" s="22" t="e">
        <f t="shared" si="39"/>
        <v>#REF!</v>
      </c>
      <c r="BE60" s="23" t="e">
        <f>IF(SUMPRODUCT($J$69:BD$69,$J60:BD60)&lt;0.5, "Pending", IF(BD60&lt;0.5, "Complete", "In Progress"))</f>
        <v>#REF!</v>
      </c>
      <c r="BF60" s="22">
        <v>0</v>
      </c>
      <c r="BG60" s="22" t="e">
        <f t="shared" si="40"/>
        <v>#REF!</v>
      </c>
      <c r="BH60" s="23" t="e">
        <f>IF(SUMPRODUCT($J$69:BG$69,$J60:BG60)&lt;0.5, "Pending", IF(BG60&lt;0.5, "Complete", "In Progress"))</f>
        <v>#REF!</v>
      </c>
      <c r="BI60" s="22">
        <v>0</v>
      </c>
      <c r="BJ60" s="22" t="e">
        <f t="shared" si="41"/>
        <v>#REF!</v>
      </c>
      <c r="BK60" s="23" t="e">
        <f>IF(SUMPRODUCT($J$69:BJ$69,$J60:BJ60)&lt;0.5, "Pending", IF(BJ60&lt;0.5, "Complete", "In Progress"))</f>
        <v>#REF!</v>
      </c>
      <c r="BL60" s="22">
        <v>0</v>
      </c>
      <c r="BM60" s="22" t="e">
        <f t="shared" si="42"/>
        <v>#REF!</v>
      </c>
      <c r="BN60" s="23" t="e">
        <f>IF(SUMPRODUCT($J$69:BM$69,$J60:BM60)&lt;0.5, "Pending", IF(BM60&lt;0.5, "Complete", "In Progress"))</f>
        <v>#REF!</v>
      </c>
      <c r="BO60" s="22">
        <v>0</v>
      </c>
      <c r="BP60" s="22" t="e">
        <f t="shared" si="43"/>
        <v>#REF!</v>
      </c>
      <c r="BQ60" s="23" t="e">
        <f>IF(SUMPRODUCT($J$69:BP$69,$J60:BP60)&lt;0.5, "Pending", IF(BP60&lt;0.5, "Complete", "In Progress"))</f>
        <v>#REF!</v>
      </c>
      <c r="BR60" s="22">
        <v>0</v>
      </c>
      <c r="BS60" s="22" t="e">
        <f t="shared" si="44"/>
        <v>#REF!</v>
      </c>
      <c r="BT60" s="23" t="e">
        <f>IF(SUMPRODUCT($J$69:BS$69,$J60:BS60)&lt;0.5, "Pending", IF(BS60&lt;0.5, "Complete", "In Progress"))</f>
        <v>#REF!</v>
      </c>
      <c r="BU60" s="22">
        <v>0</v>
      </c>
      <c r="BV60" s="22" t="e">
        <f t="shared" si="45"/>
        <v>#REF!</v>
      </c>
      <c r="BW60" s="23" t="e">
        <f>IF(SUMPRODUCT($J$69:BV$69,$J60:BV60)&lt;0.5, "Pending", IF(BV60&lt;0.5, "Complete", "In Progress"))</f>
        <v>#REF!</v>
      </c>
      <c r="BX60" s="22">
        <v>0</v>
      </c>
      <c r="BY60" s="22" t="e">
        <f t="shared" si="46"/>
        <v>#REF!</v>
      </c>
      <c r="BZ60" s="23" t="e">
        <f>IF(SUMPRODUCT($J$69:BY$69,$J60:BY60)&lt;0.5, "Pending", IF(BY60&lt;0.5, "Complete", "In Progress"))</f>
        <v>#REF!</v>
      </c>
      <c r="CA60" s="22">
        <v>0</v>
      </c>
      <c r="CB60" s="22" t="e">
        <f t="shared" si="47"/>
        <v>#REF!</v>
      </c>
      <c r="CC60" s="23" t="e">
        <f>IF(SUMPRODUCT($J$69:CB$69,$J60:CB60)&lt;0.5, "Pending", IF(CB60&lt;0.5, "Complete", "In Progress"))</f>
        <v>#REF!</v>
      </c>
      <c r="CD60" s="24"/>
      <c r="CE60" s="25">
        <f>SUMPRODUCT($H$69:AY$69,$H60:AY60)</f>
        <v>0</v>
      </c>
    </row>
    <row r="61" spans="1:83" ht="12.75" hidden="1" customHeight="1" x14ac:dyDescent="0.2">
      <c r="A61" s="16"/>
      <c r="B61" s="16"/>
      <c r="C61" s="16"/>
      <c r="D61" s="17"/>
      <c r="E61" s="177"/>
      <c r="F61" s="18" t="s">
        <v>128</v>
      </c>
      <c r="G61" s="19" t="e">
        <f t="shared" ca="1" si="23"/>
        <v>#REF!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IF(SUMPRODUCT($J$69:K$69,$J61:K61)&lt;0.5,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IF(SUMPRODUCT($J$69:N$69,$J61:N61)&lt;0.5,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IF(SUMPRODUCT($J$69:Q$69,$J61:Q61)&lt;0.5,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IF(SUMPRODUCT($J$69:T$69,$J61:T61)&lt;0.5,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IF(SUMPRODUCT($J$69:W$69,$J61:W61)&lt;0.5,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IF(SUMPRODUCT($J$69:Z$69,$J61:Z61)&lt;0.5,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IF(SUMPRODUCT($J$69:AC$69,$J61:AC61)&lt;0.5,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IF(SUMPRODUCT($J$69:AF$69,$J61:AF61)&lt;0.5,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IF(SUMPRODUCT($J$69:AI$69,$J61:AI61)&lt;0.5,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IF(SUMPRODUCT($J$69:AL$69,$J61:AL61)&lt;0.5,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IF(SUMPRODUCT($J$69:AO$69,$J61:AO61)&lt;0.5,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IF(SUMPRODUCT($J$69:AR$69,$J61:AR61)&lt;0.5,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IF(SUMPRODUCT($J$69:AU$69,$J61:AU61)&lt;0.5,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IF(SUMPRODUCT($J$69:AX$69,$J61:AX61)&lt;0.5,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IF(SUMPRODUCT($J$69:BA$69,$J61:BA61)&lt;0.5, "Pending", IF(BA61&lt;0.5, "Complete", "In Progress"))</f>
        <v>#REF!</v>
      </c>
      <c r="BC61" s="22">
        <v>0</v>
      </c>
      <c r="BD61" s="22" t="e">
        <f t="shared" si="39"/>
        <v>#REF!</v>
      </c>
      <c r="BE61" s="23" t="e">
        <f>IF(SUMPRODUCT($J$69:BD$69,$J61:BD61)&lt;0.5, "Pending", IF(BD61&lt;0.5, "Complete", "In Progress"))</f>
        <v>#REF!</v>
      </c>
      <c r="BF61" s="22">
        <v>0</v>
      </c>
      <c r="BG61" s="22" t="e">
        <f t="shared" si="40"/>
        <v>#REF!</v>
      </c>
      <c r="BH61" s="23" t="e">
        <f>IF(SUMPRODUCT($J$69:BG$69,$J61:BG61)&lt;0.5, "Pending", IF(BG61&lt;0.5, "Complete", "In Progress"))</f>
        <v>#REF!</v>
      </c>
      <c r="BI61" s="22">
        <v>0</v>
      </c>
      <c r="BJ61" s="22" t="e">
        <f t="shared" si="41"/>
        <v>#REF!</v>
      </c>
      <c r="BK61" s="23" t="e">
        <f>IF(SUMPRODUCT($J$69:BJ$69,$J61:BJ61)&lt;0.5, "Pending", IF(BJ61&lt;0.5, "Complete", "In Progress"))</f>
        <v>#REF!</v>
      </c>
      <c r="BL61" s="22">
        <v>0</v>
      </c>
      <c r="BM61" s="22" t="e">
        <f t="shared" si="42"/>
        <v>#REF!</v>
      </c>
      <c r="BN61" s="23" t="e">
        <f>IF(SUMPRODUCT($J$69:BM$69,$J61:BM61)&lt;0.5, "Pending", IF(BM61&lt;0.5, "Complete", "In Progress"))</f>
        <v>#REF!</v>
      </c>
      <c r="BO61" s="22">
        <v>0</v>
      </c>
      <c r="BP61" s="22" t="e">
        <f t="shared" si="43"/>
        <v>#REF!</v>
      </c>
      <c r="BQ61" s="23" t="e">
        <f>IF(SUMPRODUCT($J$69:BP$69,$J61:BP61)&lt;0.5, "Pending", IF(BP61&lt;0.5, "Complete", "In Progress"))</f>
        <v>#REF!</v>
      </c>
      <c r="BR61" s="22">
        <v>0</v>
      </c>
      <c r="BS61" s="22" t="e">
        <f t="shared" si="44"/>
        <v>#REF!</v>
      </c>
      <c r="BT61" s="23" t="e">
        <f>IF(SUMPRODUCT($J$69:BS$69,$J61:BS61)&lt;0.5, "Pending", IF(BS61&lt;0.5, "Complete", "In Progress"))</f>
        <v>#REF!</v>
      </c>
      <c r="BU61" s="22">
        <v>0</v>
      </c>
      <c r="BV61" s="22" t="e">
        <f t="shared" si="45"/>
        <v>#REF!</v>
      </c>
      <c r="BW61" s="23" t="e">
        <f>IF(SUMPRODUCT($J$69:BV$69,$J61:BV61)&lt;0.5, "Pending", IF(BV61&lt;0.5, "Complete", "In Progress"))</f>
        <v>#REF!</v>
      </c>
      <c r="BX61" s="22">
        <v>0</v>
      </c>
      <c r="BY61" s="22" t="e">
        <f t="shared" si="46"/>
        <v>#REF!</v>
      </c>
      <c r="BZ61" s="23" t="e">
        <f>IF(SUMPRODUCT($J$69:BY$69,$J61:BY61)&lt;0.5, "Pending", IF(BY61&lt;0.5, "Complete", "In Progress"))</f>
        <v>#REF!</v>
      </c>
      <c r="CA61" s="22">
        <v>0</v>
      </c>
      <c r="CB61" s="22" t="e">
        <f t="shared" si="47"/>
        <v>#REF!</v>
      </c>
      <c r="CC61" s="23" t="e">
        <f>IF(SUMPRODUCT($J$69:CB$69,$J61:CB61)&lt;0.5, "Pending", IF(CB61&lt;0.5, "Complete", "In Progress"))</f>
        <v>#REF!</v>
      </c>
      <c r="CD61" s="24"/>
      <c r="CE61" s="25">
        <f>SUMPRODUCT($H$69:AY$69,$H61:AY61)</f>
        <v>0</v>
      </c>
    </row>
    <row r="62" spans="1:83" ht="12.75" hidden="1" customHeight="1" x14ac:dyDescent="0.2">
      <c r="A62" s="16"/>
      <c r="B62" s="16"/>
      <c r="C62" s="16"/>
      <c r="D62" s="17"/>
      <c r="E62" s="177"/>
      <c r="F62" s="18" t="s">
        <v>128</v>
      </c>
      <c r="G62" s="19" t="e">
        <f t="shared" ca="1" si="23"/>
        <v>#REF!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IF(SUMPRODUCT($J$69:K$69,$J62:K62)&lt;0.5,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IF(SUMPRODUCT($J$69:N$69,$J62:N62)&lt;0.5,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IF(SUMPRODUCT($J$69:Q$69,$J62:Q62)&lt;0.5,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IF(SUMPRODUCT($J$69:T$69,$J62:T62)&lt;0.5,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IF(SUMPRODUCT($J$69:W$69,$J62:W62)&lt;0.5,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IF(SUMPRODUCT($J$69:Z$69,$J62:Z62)&lt;0.5,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IF(SUMPRODUCT($J$69:AC$69,$J62:AC62)&lt;0.5,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IF(SUMPRODUCT($J$69:AF$69,$J62:AF62)&lt;0.5,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IF(SUMPRODUCT($J$69:AI$69,$J62:AI62)&lt;0.5,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IF(SUMPRODUCT($J$69:AL$69,$J62:AL62)&lt;0.5,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IF(SUMPRODUCT($J$69:AO$69,$J62:AO62)&lt;0.5,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IF(SUMPRODUCT($J$69:AR$69,$J62:AR62)&lt;0.5,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IF(SUMPRODUCT($J$69:AU$69,$J62:AU62)&lt;0.5,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IF(SUMPRODUCT($J$69:AX$69,$J62:AX62)&lt;0.5,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IF(SUMPRODUCT($J$69:BA$69,$J62:BA62)&lt;0.5, "Pending", IF(BA62&lt;0.5, "Complete", "In Progress"))</f>
        <v>#REF!</v>
      </c>
      <c r="BC62" s="22">
        <v>0</v>
      </c>
      <c r="BD62" s="22" t="e">
        <f t="shared" si="39"/>
        <v>#REF!</v>
      </c>
      <c r="BE62" s="23" t="e">
        <f>IF(SUMPRODUCT($J$69:BD$69,$J62:BD62)&lt;0.5, "Pending", IF(BD62&lt;0.5, "Complete", "In Progress"))</f>
        <v>#REF!</v>
      </c>
      <c r="BF62" s="22">
        <v>0</v>
      </c>
      <c r="BG62" s="22" t="e">
        <f t="shared" si="40"/>
        <v>#REF!</v>
      </c>
      <c r="BH62" s="23" t="e">
        <f>IF(SUMPRODUCT($J$69:BG$69,$J62:BG62)&lt;0.5, "Pending", IF(BG62&lt;0.5, "Complete", "In Progress"))</f>
        <v>#REF!</v>
      </c>
      <c r="BI62" s="22">
        <v>0</v>
      </c>
      <c r="BJ62" s="22" t="e">
        <f t="shared" si="41"/>
        <v>#REF!</v>
      </c>
      <c r="BK62" s="23" t="e">
        <f>IF(SUMPRODUCT($J$69:BJ$69,$J62:BJ62)&lt;0.5, "Pending", IF(BJ62&lt;0.5, "Complete", "In Progress"))</f>
        <v>#REF!</v>
      </c>
      <c r="BL62" s="22">
        <v>0</v>
      </c>
      <c r="BM62" s="22" t="e">
        <f t="shared" si="42"/>
        <v>#REF!</v>
      </c>
      <c r="BN62" s="23" t="e">
        <f>IF(SUMPRODUCT($J$69:BM$69,$J62:BM62)&lt;0.5, "Pending", IF(BM62&lt;0.5, "Complete", "In Progress"))</f>
        <v>#REF!</v>
      </c>
      <c r="BO62" s="22">
        <v>0</v>
      </c>
      <c r="BP62" s="22" t="e">
        <f t="shared" si="43"/>
        <v>#REF!</v>
      </c>
      <c r="BQ62" s="23" t="e">
        <f>IF(SUMPRODUCT($J$69:BP$69,$J62:BP62)&lt;0.5, "Pending", IF(BP62&lt;0.5, "Complete", "In Progress"))</f>
        <v>#REF!</v>
      </c>
      <c r="BR62" s="22">
        <v>0</v>
      </c>
      <c r="BS62" s="22" t="e">
        <f t="shared" si="44"/>
        <v>#REF!</v>
      </c>
      <c r="BT62" s="23" t="e">
        <f>IF(SUMPRODUCT($J$69:BS$69,$J62:BS62)&lt;0.5, "Pending", IF(BS62&lt;0.5, "Complete", "In Progress"))</f>
        <v>#REF!</v>
      </c>
      <c r="BU62" s="22">
        <v>0</v>
      </c>
      <c r="BV62" s="22" t="e">
        <f t="shared" si="45"/>
        <v>#REF!</v>
      </c>
      <c r="BW62" s="23" t="e">
        <f>IF(SUMPRODUCT($J$69:BV$69,$J62:BV62)&lt;0.5, "Pending", IF(BV62&lt;0.5, "Complete", "In Progress"))</f>
        <v>#REF!</v>
      </c>
      <c r="BX62" s="22">
        <v>0</v>
      </c>
      <c r="BY62" s="22" t="e">
        <f t="shared" si="46"/>
        <v>#REF!</v>
      </c>
      <c r="BZ62" s="23" t="e">
        <f>IF(SUMPRODUCT($J$69:BY$69,$J62:BY62)&lt;0.5, "Pending", IF(BY62&lt;0.5, "Complete", "In Progress"))</f>
        <v>#REF!</v>
      </c>
      <c r="CA62" s="22">
        <v>0</v>
      </c>
      <c r="CB62" s="22" t="e">
        <f t="shared" si="47"/>
        <v>#REF!</v>
      </c>
      <c r="CC62" s="23" t="e">
        <f>IF(SUMPRODUCT($J$69:CB$69,$J62:CB62)&lt;0.5, "Pending", IF(CB62&lt;0.5, "Complete", "In Progress"))</f>
        <v>#REF!</v>
      </c>
      <c r="CD62" s="24"/>
      <c r="CE62" s="25">
        <f>SUMPRODUCT($H$69:AY$69,$H62:AY62)</f>
        <v>0</v>
      </c>
    </row>
    <row r="63" spans="1:83" ht="12.75" hidden="1" customHeight="1" x14ac:dyDescent="0.2">
      <c r="A63" s="16"/>
      <c r="B63" s="16"/>
      <c r="C63" s="16"/>
      <c r="D63" s="17"/>
      <c r="E63" s="177"/>
      <c r="F63" s="18" t="s">
        <v>128</v>
      </c>
      <c r="G63" s="19" t="e">
        <f t="shared" ca="1" si="23"/>
        <v>#REF!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IF(SUMPRODUCT($J$69:K$69,$J63:K63)&lt;0.5,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IF(SUMPRODUCT($J$69:N$69,$J63:N63)&lt;0.5,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IF(SUMPRODUCT($J$69:Q$69,$J63:Q63)&lt;0.5,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IF(SUMPRODUCT($J$69:T$69,$J63:T63)&lt;0.5,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IF(SUMPRODUCT($J$69:W$69,$J63:W63)&lt;0.5,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IF(SUMPRODUCT($J$69:Z$69,$J63:Z63)&lt;0.5,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IF(SUMPRODUCT($J$69:AC$69,$J63:AC63)&lt;0.5,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IF(SUMPRODUCT($J$69:AF$69,$J63:AF63)&lt;0.5,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IF(SUMPRODUCT($J$69:AI$69,$J63:AI63)&lt;0.5,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IF(SUMPRODUCT($J$69:AL$69,$J63:AL63)&lt;0.5,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IF(SUMPRODUCT($J$69:AO$69,$J63:AO63)&lt;0.5,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IF(SUMPRODUCT($J$69:AR$69,$J63:AR63)&lt;0.5,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IF(SUMPRODUCT($J$69:AU$69,$J63:AU63)&lt;0.5,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IF(SUMPRODUCT($J$69:AX$69,$J63:AX63)&lt;0.5,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IF(SUMPRODUCT($J$69:BA$69,$J63:BA63)&lt;0.5, "Pending", IF(BA63&lt;0.5, "Complete", "In Progress"))</f>
        <v>#REF!</v>
      </c>
      <c r="BC63" s="22">
        <v>0</v>
      </c>
      <c r="BD63" s="22" t="e">
        <f t="shared" si="39"/>
        <v>#REF!</v>
      </c>
      <c r="BE63" s="23" t="e">
        <f>IF(SUMPRODUCT($J$69:BD$69,$J63:BD63)&lt;0.5, "Pending", IF(BD63&lt;0.5, "Complete", "In Progress"))</f>
        <v>#REF!</v>
      </c>
      <c r="BF63" s="22">
        <v>0</v>
      </c>
      <c r="BG63" s="22" t="e">
        <f t="shared" si="40"/>
        <v>#REF!</v>
      </c>
      <c r="BH63" s="23" t="e">
        <f>IF(SUMPRODUCT($J$69:BG$69,$J63:BG63)&lt;0.5, "Pending", IF(BG63&lt;0.5, "Complete", "In Progress"))</f>
        <v>#REF!</v>
      </c>
      <c r="BI63" s="22">
        <v>0</v>
      </c>
      <c r="BJ63" s="22" t="e">
        <f t="shared" si="41"/>
        <v>#REF!</v>
      </c>
      <c r="BK63" s="23" t="e">
        <f>IF(SUMPRODUCT($J$69:BJ$69,$J63:BJ63)&lt;0.5, "Pending", IF(BJ63&lt;0.5, "Complete", "In Progress"))</f>
        <v>#REF!</v>
      </c>
      <c r="BL63" s="22">
        <v>0</v>
      </c>
      <c r="BM63" s="22" t="e">
        <f t="shared" si="42"/>
        <v>#REF!</v>
      </c>
      <c r="BN63" s="23" t="e">
        <f>IF(SUMPRODUCT($J$69:BM$69,$J63:BM63)&lt;0.5, "Pending", IF(BM63&lt;0.5, "Complete", "In Progress"))</f>
        <v>#REF!</v>
      </c>
      <c r="BO63" s="22">
        <v>0</v>
      </c>
      <c r="BP63" s="22" t="e">
        <f t="shared" si="43"/>
        <v>#REF!</v>
      </c>
      <c r="BQ63" s="23" t="e">
        <f>IF(SUMPRODUCT($J$69:BP$69,$J63:BP63)&lt;0.5, "Pending", IF(BP63&lt;0.5, "Complete", "In Progress"))</f>
        <v>#REF!</v>
      </c>
      <c r="BR63" s="22">
        <v>0</v>
      </c>
      <c r="BS63" s="22" t="e">
        <f t="shared" si="44"/>
        <v>#REF!</v>
      </c>
      <c r="BT63" s="23" t="e">
        <f>IF(SUMPRODUCT($J$69:BS$69,$J63:BS63)&lt;0.5, "Pending", IF(BS63&lt;0.5, "Complete", "In Progress"))</f>
        <v>#REF!</v>
      </c>
      <c r="BU63" s="22">
        <v>0</v>
      </c>
      <c r="BV63" s="22" t="e">
        <f t="shared" si="45"/>
        <v>#REF!</v>
      </c>
      <c r="BW63" s="23" t="e">
        <f>IF(SUMPRODUCT($J$69:BV$69,$J63:BV63)&lt;0.5, "Pending", IF(BV63&lt;0.5, "Complete", "In Progress"))</f>
        <v>#REF!</v>
      </c>
      <c r="BX63" s="22">
        <v>0</v>
      </c>
      <c r="BY63" s="22" t="e">
        <f t="shared" si="46"/>
        <v>#REF!</v>
      </c>
      <c r="BZ63" s="23" t="e">
        <f>IF(SUMPRODUCT($J$69:BY$69,$J63:BY63)&lt;0.5, "Pending", IF(BY63&lt;0.5, "Complete", "In Progress"))</f>
        <v>#REF!</v>
      </c>
      <c r="CA63" s="22">
        <v>0</v>
      </c>
      <c r="CB63" s="22" t="e">
        <f t="shared" si="47"/>
        <v>#REF!</v>
      </c>
      <c r="CC63" s="23" t="e">
        <f>IF(SUMPRODUCT($J$69:CB$69,$J63:CB63)&lt;0.5, "Pending", IF(CB63&lt;0.5, "Complete", "In Progress"))</f>
        <v>#REF!</v>
      </c>
      <c r="CD63" s="24"/>
      <c r="CE63" s="25">
        <f>SUMPRODUCT($H$69:AY$69,$H63:AY63)</f>
        <v>0</v>
      </c>
    </row>
    <row r="64" spans="1:83" ht="12.75" hidden="1" customHeight="1" x14ac:dyDescent="0.2">
      <c r="A64" s="16"/>
      <c r="B64" s="16"/>
      <c r="C64" s="16"/>
      <c r="D64" s="17"/>
      <c r="E64" s="177"/>
      <c r="F64" s="18" t="s">
        <v>128</v>
      </c>
      <c r="G64" s="19" t="e">
        <f t="shared" ca="1" si="23"/>
        <v>#REF!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IF(SUMPRODUCT($J$69:K$69,$J64:K64)&lt;0.5,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IF(SUMPRODUCT($J$69:N$69,$J64:N64)&lt;0.5,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IF(SUMPRODUCT($J$69:Q$69,$J64:Q64)&lt;0.5,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IF(SUMPRODUCT($J$69:T$69,$J64:T64)&lt;0.5,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IF(SUMPRODUCT($J$69:W$69,$J64:W64)&lt;0.5,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IF(SUMPRODUCT($J$69:Z$69,$J64:Z64)&lt;0.5,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IF(SUMPRODUCT($J$69:AC$69,$J64:AC64)&lt;0.5,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IF(SUMPRODUCT($J$69:AF$69,$J64:AF64)&lt;0.5,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IF(SUMPRODUCT($J$69:AI$69,$J64:AI64)&lt;0.5,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IF(SUMPRODUCT($J$69:AL$69,$J64:AL64)&lt;0.5,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IF(SUMPRODUCT($J$69:AO$69,$J64:AO64)&lt;0.5,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IF(SUMPRODUCT($J$69:AR$69,$J64:AR64)&lt;0.5,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IF(SUMPRODUCT($J$69:AU$69,$J64:AU64)&lt;0.5,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IF(SUMPRODUCT($J$69:AX$69,$J64:AX64)&lt;0.5,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IF(SUMPRODUCT($J$69:BA$69,$J64:BA64)&lt;0.5, "Pending", IF(BA64&lt;0.5, "Complete", "In Progress"))</f>
        <v>#REF!</v>
      </c>
      <c r="BC64" s="22">
        <v>0</v>
      </c>
      <c r="BD64" s="22" t="e">
        <f t="shared" si="39"/>
        <v>#REF!</v>
      </c>
      <c r="BE64" s="23" t="e">
        <f>IF(SUMPRODUCT($J$69:BD$69,$J64:BD64)&lt;0.5, "Pending", IF(BD64&lt;0.5, "Complete", "In Progress"))</f>
        <v>#REF!</v>
      </c>
      <c r="BF64" s="22">
        <v>0</v>
      </c>
      <c r="BG64" s="22" t="e">
        <f t="shared" si="40"/>
        <v>#REF!</v>
      </c>
      <c r="BH64" s="23" t="e">
        <f>IF(SUMPRODUCT($J$69:BG$69,$J64:BG64)&lt;0.5, "Pending", IF(BG64&lt;0.5, "Complete", "In Progress"))</f>
        <v>#REF!</v>
      </c>
      <c r="BI64" s="22">
        <v>0</v>
      </c>
      <c r="BJ64" s="22" t="e">
        <f t="shared" si="41"/>
        <v>#REF!</v>
      </c>
      <c r="BK64" s="23" t="e">
        <f>IF(SUMPRODUCT($J$69:BJ$69,$J64:BJ64)&lt;0.5, "Pending", IF(BJ64&lt;0.5, "Complete", "In Progress"))</f>
        <v>#REF!</v>
      </c>
      <c r="BL64" s="22">
        <v>0</v>
      </c>
      <c r="BM64" s="22" t="e">
        <f t="shared" si="42"/>
        <v>#REF!</v>
      </c>
      <c r="BN64" s="23" t="e">
        <f>IF(SUMPRODUCT($J$69:BM$69,$J64:BM64)&lt;0.5, "Pending", IF(BM64&lt;0.5, "Complete", "In Progress"))</f>
        <v>#REF!</v>
      </c>
      <c r="BO64" s="22">
        <v>0</v>
      </c>
      <c r="BP64" s="22" t="e">
        <f t="shared" si="43"/>
        <v>#REF!</v>
      </c>
      <c r="BQ64" s="23" t="e">
        <f>IF(SUMPRODUCT($J$69:BP$69,$J64:BP64)&lt;0.5, "Pending", IF(BP64&lt;0.5, "Complete", "In Progress"))</f>
        <v>#REF!</v>
      </c>
      <c r="BR64" s="22">
        <v>0</v>
      </c>
      <c r="BS64" s="22" t="e">
        <f t="shared" si="44"/>
        <v>#REF!</v>
      </c>
      <c r="BT64" s="23" t="e">
        <f>IF(SUMPRODUCT($J$69:BS$69,$J64:BS64)&lt;0.5, "Pending", IF(BS64&lt;0.5, "Complete", "In Progress"))</f>
        <v>#REF!</v>
      </c>
      <c r="BU64" s="22">
        <v>0</v>
      </c>
      <c r="BV64" s="22" t="e">
        <f t="shared" si="45"/>
        <v>#REF!</v>
      </c>
      <c r="BW64" s="23" t="e">
        <f>IF(SUMPRODUCT($J$69:BV$69,$J64:BV64)&lt;0.5, "Pending", IF(BV64&lt;0.5, "Complete", "In Progress"))</f>
        <v>#REF!</v>
      </c>
      <c r="BX64" s="22">
        <v>0</v>
      </c>
      <c r="BY64" s="22" t="e">
        <f t="shared" si="46"/>
        <v>#REF!</v>
      </c>
      <c r="BZ64" s="23" t="e">
        <f>IF(SUMPRODUCT($J$69:BY$69,$J64:BY64)&lt;0.5, "Pending", IF(BY64&lt;0.5, "Complete", "In Progress"))</f>
        <v>#REF!</v>
      </c>
      <c r="CA64" s="22">
        <v>0</v>
      </c>
      <c r="CB64" s="22" t="e">
        <f t="shared" si="47"/>
        <v>#REF!</v>
      </c>
      <c r="CC64" s="23" t="e">
        <f>IF(SUMPRODUCT($J$69:CB$69,$J64:CB64)&lt;0.5, "Pending", IF(CB64&lt;0.5, "Complete", "In Progress"))</f>
        <v>#REF!</v>
      </c>
      <c r="CD64" s="24"/>
      <c r="CE64" s="25">
        <f>SUMPRODUCT($H$69:AY$69,$H64:AY64)</f>
        <v>0</v>
      </c>
    </row>
    <row r="65" spans="1:83" ht="12.75" hidden="1" customHeight="1" x14ac:dyDescent="0.2">
      <c r="A65" s="16"/>
      <c r="B65" s="16"/>
      <c r="C65" s="16"/>
      <c r="D65" s="17"/>
      <c r="E65" s="177"/>
      <c r="F65" s="18" t="s">
        <v>128</v>
      </c>
      <c r="G65" s="19" t="e">
        <f t="shared" ca="1" si="23"/>
        <v>#REF!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IF(SUMPRODUCT($J$69:K$69,$J65:K65)&lt;0.5,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IF(SUMPRODUCT($J$69:N$69,$J65:N65)&lt;0.5,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IF(SUMPRODUCT($J$69:Q$69,$J65:Q65)&lt;0.5,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IF(SUMPRODUCT($J$69:T$69,$J65:T65)&lt;0.5,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IF(SUMPRODUCT($J$69:W$69,$J65:W65)&lt;0.5,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IF(SUMPRODUCT($J$69:Z$69,$J65:Z65)&lt;0.5,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IF(SUMPRODUCT($J$69:AC$69,$J65:AC65)&lt;0.5,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IF(SUMPRODUCT($J$69:AF$69,$J65:AF65)&lt;0.5,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IF(SUMPRODUCT($J$69:AI$69,$J65:AI65)&lt;0.5,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IF(SUMPRODUCT($J$69:AL$69,$J65:AL65)&lt;0.5,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IF(SUMPRODUCT($J$69:AO$69,$J65:AO65)&lt;0.5,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IF(SUMPRODUCT($J$69:AR$69,$J65:AR65)&lt;0.5,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IF(SUMPRODUCT($J$69:AU$69,$J65:AU65)&lt;0.5,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IF(SUMPRODUCT($J$69:AX$69,$J65:AX65)&lt;0.5,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IF(SUMPRODUCT($J$69:BA$69,$J65:BA65)&lt;0.5, "Pending", IF(BA65&lt;0.5, "Complete", "In Progress"))</f>
        <v>#REF!</v>
      </c>
      <c r="BC65" s="22">
        <v>0</v>
      </c>
      <c r="BD65" s="22" t="e">
        <f t="shared" si="39"/>
        <v>#REF!</v>
      </c>
      <c r="BE65" s="23" t="e">
        <f>IF(SUMPRODUCT($J$69:BD$69,$J65:BD65)&lt;0.5, "Pending", IF(BD65&lt;0.5, "Complete", "In Progress"))</f>
        <v>#REF!</v>
      </c>
      <c r="BF65" s="22">
        <v>0</v>
      </c>
      <c r="BG65" s="22" t="e">
        <f t="shared" si="40"/>
        <v>#REF!</v>
      </c>
      <c r="BH65" s="23" t="e">
        <f>IF(SUMPRODUCT($J$69:BG$69,$J65:BG65)&lt;0.5, "Pending", IF(BG65&lt;0.5, "Complete", "In Progress"))</f>
        <v>#REF!</v>
      </c>
      <c r="BI65" s="22">
        <v>0</v>
      </c>
      <c r="BJ65" s="22" t="e">
        <f t="shared" si="41"/>
        <v>#REF!</v>
      </c>
      <c r="BK65" s="23" t="e">
        <f>IF(SUMPRODUCT($J$69:BJ$69,$J65:BJ65)&lt;0.5, "Pending", IF(BJ65&lt;0.5, "Complete", "In Progress"))</f>
        <v>#REF!</v>
      </c>
      <c r="BL65" s="22">
        <v>0</v>
      </c>
      <c r="BM65" s="22" t="e">
        <f t="shared" si="42"/>
        <v>#REF!</v>
      </c>
      <c r="BN65" s="23" t="e">
        <f>IF(SUMPRODUCT($J$69:BM$69,$J65:BM65)&lt;0.5, "Pending", IF(BM65&lt;0.5, "Complete", "In Progress"))</f>
        <v>#REF!</v>
      </c>
      <c r="BO65" s="22">
        <v>0</v>
      </c>
      <c r="BP65" s="22" t="e">
        <f t="shared" si="43"/>
        <v>#REF!</v>
      </c>
      <c r="BQ65" s="23" t="e">
        <f>IF(SUMPRODUCT($J$69:BP$69,$J65:BP65)&lt;0.5, "Pending", IF(BP65&lt;0.5, "Complete", "In Progress"))</f>
        <v>#REF!</v>
      </c>
      <c r="BR65" s="22">
        <v>0</v>
      </c>
      <c r="BS65" s="22" t="e">
        <f t="shared" si="44"/>
        <v>#REF!</v>
      </c>
      <c r="BT65" s="23" t="e">
        <f>IF(SUMPRODUCT($J$69:BS$69,$J65:BS65)&lt;0.5, "Pending", IF(BS65&lt;0.5, "Complete", "In Progress"))</f>
        <v>#REF!</v>
      </c>
      <c r="BU65" s="22">
        <v>0</v>
      </c>
      <c r="BV65" s="22" t="e">
        <f t="shared" si="45"/>
        <v>#REF!</v>
      </c>
      <c r="BW65" s="23" t="e">
        <f>IF(SUMPRODUCT($J$69:BV$69,$J65:BV65)&lt;0.5, "Pending", IF(BV65&lt;0.5, "Complete", "In Progress"))</f>
        <v>#REF!</v>
      </c>
      <c r="BX65" s="22">
        <v>0</v>
      </c>
      <c r="BY65" s="22" t="e">
        <f t="shared" si="46"/>
        <v>#REF!</v>
      </c>
      <c r="BZ65" s="23" t="e">
        <f>IF(SUMPRODUCT($J$69:BY$69,$J65:BY65)&lt;0.5, "Pending", IF(BY65&lt;0.5, "Complete", "In Progress"))</f>
        <v>#REF!</v>
      </c>
      <c r="CA65" s="22">
        <v>0</v>
      </c>
      <c r="CB65" s="22" t="e">
        <f t="shared" si="47"/>
        <v>#REF!</v>
      </c>
      <c r="CC65" s="23" t="e">
        <f>IF(SUMPRODUCT($J$69:CB$69,$J65:CB65)&lt;0.5, "Pending", IF(CB65&lt;0.5, "Complete", "In Progress"))</f>
        <v>#REF!</v>
      </c>
      <c r="CD65" s="24"/>
      <c r="CE65" s="25">
        <f>SUMPRODUCT($H$69:AY$69,$H65:AY65)</f>
        <v>0</v>
      </c>
    </row>
    <row r="66" spans="1:83" ht="12.75" hidden="1" customHeight="1" x14ac:dyDescent="0.2">
      <c r="A66" s="16"/>
      <c r="B66" s="16"/>
      <c r="C66" s="16"/>
      <c r="D66" s="17"/>
      <c r="E66" s="176"/>
      <c r="F66" s="18" t="s">
        <v>48</v>
      </c>
      <c r="G66" s="19" t="e">
        <f t="shared" ca="1" si="23"/>
        <v>#REF!</v>
      </c>
      <c r="H66" s="20">
        <v>1</v>
      </c>
      <c r="I66" s="21">
        <v>0</v>
      </c>
      <c r="J66" s="22">
        <v>0</v>
      </c>
      <c r="K66" s="22">
        <f t="shared" ref="K66" si="192">MAX(I66-J66, 0)</f>
        <v>0</v>
      </c>
      <c r="L66" s="23" t="str">
        <f>IF(SUMPRODUCT($J$69:K$69,$J66:K66)&lt;0.5, "Pending", IF(K66&lt;0.5, "Complete", "In Progress"))</f>
        <v>Pending</v>
      </c>
      <c r="M66" s="22">
        <v>0</v>
      </c>
      <c r="N66" s="22">
        <f t="shared" ref="N66" si="193">MAX(K66-M66,0)</f>
        <v>0</v>
      </c>
      <c r="O66" s="23" t="str">
        <f>IF(SUMPRODUCT($J$69:N$69,$J66:N66)&lt;0.5, "Pending", IF(N66&lt;0.5, "Complete", "In Progress"))</f>
        <v>Pending</v>
      </c>
      <c r="P66" s="22">
        <v>0</v>
      </c>
      <c r="Q66" s="22">
        <f t="shared" ref="Q66" si="194">MAX(N66-P66,0)</f>
        <v>0</v>
      </c>
      <c r="R66" s="23" t="str">
        <f>IF(SUMPRODUCT($J$69:Q$69,$J66:Q66)&lt;0.5, "Pending", IF(Q66&lt;0.5, "Complete", "In Progress"))</f>
        <v>Pending</v>
      </c>
      <c r="S66" s="22">
        <v>0</v>
      </c>
      <c r="T66" s="22">
        <f t="shared" ref="T66" si="195">MAX(Q66-S66,0)</f>
        <v>0</v>
      </c>
      <c r="U66" s="23" t="str">
        <f>IF(SUMPRODUCT($J$69:T$69,$J66:T66)&lt;0.5, "Pending", IF(T66&lt;0.5, "Complete", "In Progress"))</f>
        <v>Pending</v>
      </c>
      <c r="V66" s="22">
        <v>0</v>
      </c>
      <c r="W66" s="22">
        <f t="shared" ref="W66" si="196">MAX(T66-V66,0)</f>
        <v>0</v>
      </c>
      <c r="X66" s="23" t="str">
        <f>IF(SUMPRODUCT($J$69:W$69,$J66:W66)&lt;0.5, "Pending", IF(W66&lt;0.5, "Complete", "In Progress"))</f>
        <v>Pending</v>
      </c>
      <c r="Y66" s="22">
        <v>0</v>
      </c>
      <c r="Z66" s="22">
        <f t="shared" ref="Z66" si="197">MAX(W66-Y66,0)</f>
        <v>0</v>
      </c>
      <c r="AA66" s="23" t="str">
        <f>IF(SUMPRODUCT($J$69:Z$69,$J66:Z66)&lt;0.5, "Pending", IF(Z66&lt;0.5, "Complete", "In Progress"))</f>
        <v>Pending</v>
      </c>
      <c r="AB66" s="22">
        <v>0</v>
      </c>
      <c r="AC66" s="22">
        <f t="shared" ref="AC66" si="198">MAX(Z66-AB66,0)</f>
        <v>0</v>
      </c>
      <c r="AD66" s="23" t="str">
        <f>IF(SUMPRODUCT($J$69:AC$69,$J66:AC66)&lt;0.5, "Pending", IF(AC66&lt;0.5, "Complete", "In Progress"))</f>
        <v>Pending</v>
      </c>
      <c r="AE66" s="22">
        <v>0</v>
      </c>
      <c r="AF66" s="22">
        <f t="shared" ref="AF66" si="199">MAX(AC66-AE66,0)</f>
        <v>0</v>
      </c>
      <c r="AG66" s="23" t="str">
        <f>IF(SUMPRODUCT($J$69:AF$69,$J66:AF66)&lt;0.5, "Pending", IF(AF66&lt;0.5, "Complete", "In Progress"))</f>
        <v>Pending</v>
      </c>
      <c r="AH66" s="22">
        <v>0</v>
      </c>
      <c r="AI66" s="22">
        <f t="shared" ref="AI66" si="200">MAX(AF66-AH66,0)</f>
        <v>0</v>
      </c>
      <c r="AJ66" s="23" t="str">
        <f>IF(SUMPRODUCT($J$69:AI$69,$J66:AI66)&lt;0.5, "Pending", IF(AI66&lt;0.5, "Complete", "In Progress"))</f>
        <v>Pending</v>
      </c>
      <c r="AK66" s="22">
        <v>0</v>
      </c>
      <c r="AL66" s="22">
        <f t="shared" ref="AL66" si="201">MAX(AI66-AK66,0)</f>
        <v>0</v>
      </c>
      <c r="AM66" s="23" t="str">
        <f>IF(SUMPRODUCT($J$69:AL$69,$J66:AL66)&lt;0.5, "Pending", IF(AL66&lt;0.5, "Complete", "In Progress"))</f>
        <v>Pending</v>
      </c>
      <c r="AN66" s="22">
        <v>0</v>
      </c>
      <c r="AO66" s="22">
        <f t="shared" ref="AO66" si="202">MAX(AL66-AN66,0)</f>
        <v>0</v>
      </c>
      <c r="AP66" s="23" t="str">
        <f>IF(SUMPRODUCT($J$69:AO$69,$J66:AO66)&lt;0.5, "Pending", IF(AO66&lt;0.5, "Complete", "In Progress"))</f>
        <v>Pending</v>
      </c>
      <c r="AQ66" s="22">
        <v>0</v>
      </c>
      <c r="AR66" s="22">
        <f t="shared" ref="AR66" si="203">MAX(AO66-AQ66,0)</f>
        <v>0</v>
      </c>
      <c r="AS66" s="23" t="str">
        <f>IF(SUMPRODUCT($J$69:AR$69,$J66:AR66)&lt;0.5, "Pending", IF(AR66&lt;0.5, "Complete", "In Progress"))</f>
        <v>Pending</v>
      </c>
      <c r="AT66" s="22">
        <v>0</v>
      </c>
      <c r="AU66" s="22">
        <f t="shared" ref="AU66" si="204">MAX(AR66-AT66,0)</f>
        <v>0</v>
      </c>
      <c r="AV66" s="23" t="str">
        <f>IF(SUMPRODUCT($J$69:AU$69,$J66:AU66)&lt;0.5, "Pending", IF(AU66&lt;0.5, "Complete", "In Progress"))</f>
        <v>Pending</v>
      </c>
      <c r="AW66" s="22">
        <v>0</v>
      </c>
      <c r="AX66" s="22">
        <f t="shared" ref="AX66" si="205">MAX(AU66-AW66,0)</f>
        <v>0</v>
      </c>
      <c r="AY66" s="23" t="str">
        <f>IF(SUMPRODUCT($J$69:AX$69,$J66:AX66)&lt;0.5,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IF(SUMPRODUCT($J$69:BA$69,$J66:BA66)&lt;0.5, "Pending", IF(BA66&lt;0.5, "Complete", "In Progress"))</f>
        <v>#REF!</v>
      </c>
      <c r="BC66" s="22">
        <v>0</v>
      </c>
      <c r="BD66" s="22" t="e">
        <f t="shared" ref="BD66" si="206">MAX(BA66-BC66,0)</f>
        <v>#REF!</v>
      </c>
      <c r="BE66" s="23" t="e">
        <f>IF(SUMPRODUCT($J$69:BD$69,$J66:BD66)&lt;0.5, "Pending", IF(BD66&lt;0.5, "Complete", "In Progress"))</f>
        <v>#REF!</v>
      </c>
      <c r="BF66" s="22">
        <v>0</v>
      </c>
      <c r="BG66" s="22" t="e">
        <f t="shared" ref="BG66" si="207">MAX(BD66-BF66,0)</f>
        <v>#REF!</v>
      </c>
      <c r="BH66" s="23" t="e">
        <f>IF(SUMPRODUCT($J$69:BG$69,$J66:BG66)&lt;0.5, "Pending", IF(BG66&lt;0.5, "Complete", "In Progress"))</f>
        <v>#REF!</v>
      </c>
      <c r="BI66" s="22">
        <v>0</v>
      </c>
      <c r="BJ66" s="22" t="e">
        <f t="shared" ref="BJ66" si="208">MAX(BG66-BI66,0)</f>
        <v>#REF!</v>
      </c>
      <c r="BK66" s="23" t="e">
        <f>IF(SUMPRODUCT($J$69:BJ$69,$J66:BJ66)&lt;0.5, "Pending", IF(BJ66&lt;0.5, "Complete", "In Progress"))</f>
        <v>#REF!</v>
      </c>
      <c r="BL66" s="22">
        <v>0</v>
      </c>
      <c r="BM66" s="22" t="e">
        <f t="shared" ref="BM66" si="209">MAX(BJ66-BL66,0)</f>
        <v>#REF!</v>
      </c>
      <c r="BN66" s="23" t="e">
        <f>IF(SUMPRODUCT($J$69:BM$69,$J66:BM66)&lt;0.5, "Pending", IF(BM66&lt;0.5, "Complete", "In Progress"))</f>
        <v>#REF!</v>
      </c>
      <c r="BO66" s="22">
        <v>0</v>
      </c>
      <c r="BP66" s="22" t="e">
        <f t="shared" ref="BP66" si="210">MAX(BM66-BO66,0)</f>
        <v>#REF!</v>
      </c>
      <c r="BQ66" s="23" t="e">
        <f>IF(SUMPRODUCT($J$69:BP$69,$J66:BP66)&lt;0.5, "Pending", IF(BP66&lt;0.5, "Complete", "In Progress"))</f>
        <v>#REF!</v>
      </c>
      <c r="BR66" s="22">
        <v>0</v>
      </c>
      <c r="BS66" s="22" t="e">
        <f t="shared" ref="BS66" si="211">MAX(BP66-BR66,0)</f>
        <v>#REF!</v>
      </c>
      <c r="BT66" s="23" t="e">
        <f>IF(SUMPRODUCT($J$69:BS$69,$J66:BS66)&lt;0.5, "Pending", IF(BS66&lt;0.5, "Complete", "In Progress"))</f>
        <v>#REF!</v>
      </c>
      <c r="BU66" s="22">
        <v>0</v>
      </c>
      <c r="BV66" s="22" t="e">
        <f t="shared" ref="BV66" si="212">MAX(BS66-BU66,0)</f>
        <v>#REF!</v>
      </c>
      <c r="BW66" s="23" t="e">
        <f>IF(SUMPRODUCT($J$69:BV$69,$J66:BV66)&lt;0.5, "Pending", IF(BV66&lt;0.5, "Complete", "In Progress"))</f>
        <v>#REF!</v>
      </c>
      <c r="BX66" s="22">
        <v>0</v>
      </c>
      <c r="BY66" s="22" t="e">
        <f t="shared" ref="BY66" si="213">MAX(BV66-BX66,0)</f>
        <v>#REF!</v>
      </c>
      <c r="BZ66" s="23" t="e">
        <f>IF(SUMPRODUCT($J$69:BY$69,$J66:BY66)&lt;0.5, "Pending", IF(BY66&lt;0.5, "Complete", "In Progress"))</f>
        <v>#REF!</v>
      </c>
      <c r="CA66" s="22">
        <v>0</v>
      </c>
      <c r="CB66" s="22" t="e">
        <f t="shared" ref="CB66" si="214">MAX(BY66-CA66,0)</f>
        <v>#REF!</v>
      </c>
      <c r="CC66" s="23" t="e">
        <f>IF(SUMPRODUCT($J$69:CB$69,$J66:CB66)&lt;0.5, "Pending", IF(CB66&lt;0.5, "Complete", "In Progress"))</f>
        <v>#REF!</v>
      </c>
      <c r="CD66" s="24"/>
      <c r="CE66" s="25">
        <f>SUMPRODUCT($H$69:AY$69,$H66:AY66)</f>
        <v>0</v>
      </c>
    </row>
    <row r="67" spans="1:83" hidden="1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4"/>
      <c r="K67" s="24"/>
      <c r="L67" s="24"/>
      <c r="M67" s="27"/>
      <c r="N67" s="27"/>
      <c r="O67" s="24"/>
      <c r="P67" s="27"/>
      <c r="Q67" s="27"/>
      <c r="R67" s="24"/>
      <c r="S67" s="27"/>
      <c r="T67" s="27"/>
      <c r="U67" s="27"/>
      <c r="V67" s="27"/>
      <c r="W67" s="27"/>
      <c r="X67" s="24"/>
      <c r="Y67" s="27"/>
      <c r="Z67" s="27"/>
      <c r="AA67" s="24"/>
      <c r="AB67" s="27"/>
      <c r="AC67" s="27"/>
      <c r="AD67" s="24"/>
      <c r="AE67" s="27"/>
      <c r="AF67" s="27"/>
      <c r="AG67" s="24"/>
      <c r="AH67" s="27"/>
      <c r="AI67" s="27"/>
      <c r="AJ67" s="24"/>
      <c r="AK67" s="27"/>
      <c r="AL67" s="27"/>
      <c r="AM67" s="24"/>
      <c r="AN67" s="27"/>
      <c r="AO67" s="27"/>
      <c r="AP67" s="24"/>
      <c r="AQ67" s="27"/>
      <c r="AR67" s="27"/>
      <c r="AS67" s="24"/>
      <c r="AT67" s="27"/>
      <c r="AU67" s="27"/>
      <c r="AV67" s="24"/>
      <c r="AW67" s="27"/>
      <c r="AX67" s="27"/>
      <c r="AY67" s="24"/>
      <c r="AZ67" s="27"/>
      <c r="BA67" s="27"/>
      <c r="BB67" s="24"/>
      <c r="BC67" s="27"/>
      <c r="BD67" s="27"/>
      <c r="BE67" s="24"/>
      <c r="BF67" s="27"/>
      <c r="BG67" s="27"/>
      <c r="BH67" s="24"/>
      <c r="BI67" s="27"/>
      <c r="BJ67" s="27"/>
      <c r="BK67" s="24"/>
      <c r="BL67" s="27"/>
      <c r="BM67" s="27"/>
      <c r="BN67" s="24"/>
      <c r="BO67" s="27"/>
      <c r="BP67" s="27"/>
      <c r="BQ67" s="24"/>
      <c r="BR67" s="27"/>
      <c r="BS67" s="27"/>
      <c r="BT67" s="24"/>
      <c r="BU67" s="27"/>
      <c r="BV67" s="27"/>
      <c r="BW67" s="24"/>
      <c r="BX67" s="27"/>
      <c r="BY67" s="27"/>
      <c r="BZ67" s="24"/>
      <c r="CA67" s="27"/>
      <c r="CB67" s="27"/>
      <c r="CC67" s="24"/>
      <c r="CD67" s="24"/>
      <c r="CE67" s="28">
        <f>SUMPRODUCT($H$70:BK$70,$H67:BK67)</f>
        <v>0</v>
      </c>
    </row>
    <row r="68" spans="1:83" x14ac:dyDescent="0.2">
      <c r="A68" s="29"/>
      <c r="B68" s="29"/>
      <c r="C68" s="29"/>
      <c r="D68" s="29"/>
      <c r="E68" s="29"/>
      <c r="F68" s="29"/>
      <c r="G68" s="1"/>
      <c r="H68" s="29"/>
      <c r="I68" s="29"/>
      <c r="J68" s="201" t="s">
        <v>9</v>
      </c>
      <c r="K68" s="202"/>
      <c r="L68" s="30">
        <v>1</v>
      </c>
      <c r="M68" s="199" t="s">
        <v>9</v>
      </c>
      <c r="N68" s="203"/>
      <c r="O68" s="30">
        <f>L68+1</f>
        <v>2</v>
      </c>
      <c r="P68" s="199" t="s">
        <v>9</v>
      </c>
      <c r="Q68" s="203"/>
      <c r="R68" s="30">
        <f>O68+1</f>
        <v>3</v>
      </c>
      <c r="S68" s="199" t="s">
        <v>9</v>
      </c>
      <c r="T68" s="203"/>
      <c r="U68" s="30">
        <f>R68+1</f>
        <v>4</v>
      </c>
      <c r="V68" s="199" t="s">
        <v>9</v>
      </c>
      <c r="W68" s="203"/>
      <c r="X68" s="30">
        <f>U68+1</f>
        <v>5</v>
      </c>
      <c r="Y68" s="199" t="s">
        <v>9</v>
      </c>
      <c r="Z68" s="199"/>
      <c r="AA68" s="30">
        <f>X68+1</f>
        <v>6</v>
      </c>
      <c r="AB68" s="199" t="s">
        <v>9</v>
      </c>
      <c r="AC68" s="199"/>
      <c r="AD68" s="30">
        <f>AA68+1</f>
        <v>7</v>
      </c>
      <c r="AE68" s="199" t="s">
        <v>9</v>
      </c>
      <c r="AF68" s="199"/>
      <c r="AG68" s="30">
        <f>AD68+1</f>
        <v>8</v>
      </c>
      <c r="AH68" s="199" t="s">
        <v>9</v>
      </c>
      <c r="AI68" s="199"/>
      <c r="AJ68" s="30">
        <f>AG68+1</f>
        <v>9</v>
      </c>
      <c r="AK68" s="199" t="s">
        <v>9</v>
      </c>
      <c r="AL68" s="199"/>
      <c r="AM68" s="30">
        <f>AJ68+1</f>
        <v>10</v>
      </c>
      <c r="AN68" s="199" t="s">
        <v>9</v>
      </c>
      <c r="AO68" s="199"/>
      <c r="AP68" s="30">
        <f>AM68+1</f>
        <v>11</v>
      </c>
      <c r="AQ68" s="199" t="s">
        <v>9</v>
      </c>
      <c r="AR68" s="199"/>
      <c r="AS68" s="30">
        <f>AP68+1</f>
        <v>12</v>
      </c>
      <c r="AT68" s="199" t="s">
        <v>9</v>
      </c>
      <c r="AU68" s="199"/>
      <c r="AV68" s="30">
        <f>AS68+1</f>
        <v>13</v>
      </c>
      <c r="AW68" s="199" t="s">
        <v>9</v>
      </c>
      <c r="AX68" s="199"/>
      <c r="AY68" s="30">
        <f>AV68+1</f>
        <v>14</v>
      </c>
      <c r="AZ68" s="199" t="s">
        <v>9</v>
      </c>
      <c r="BA68" s="203"/>
      <c r="BB68" s="30" t="e">
        <f>#REF!+1</f>
        <v>#REF!</v>
      </c>
      <c r="BC68" s="199" t="s">
        <v>9</v>
      </c>
      <c r="BD68" s="203"/>
      <c r="BE68" s="30" t="e">
        <f>BB68+1</f>
        <v>#REF!</v>
      </c>
      <c r="BF68" s="199" t="s">
        <v>9</v>
      </c>
      <c r="BG68" s="203"/>
      <c r="BH68" s="30" t="e">
        <f>BE68+1</f>
        <v>#REF!</v>
      </c>
      <c r="BI68" s="199" t="s">
        <v>9</v>
      </c>
      <c r="BJ68" s="203"/>
      <c r="BK68" s="30" t="e">
        <f>BH68+1</f>
        <v>#REF!</v>
      </c>
      <c r="BL68" s="199" t="s">
        <v>9</v>
      </c>
      <c r="BM68" s="203"/>
      <c r="BN68" s="30" t="e">
        <f>BK68+1</f>
        <v>#REF!</v>
      </c>
      <c r="BO68" s="199" t="s">
        <v>9</v>
      </c>
      <c r="BP68" s="203"/>
      <c r="BQ68" s="30" t="e">
        <f>BN68+1</f>
        <v>#REF!</v>
      </c>
      <c r="BR68" s="199" t="s">
        <v>9</v>
      </c>
      <c r="BS68" s="203"/>
      <c r="BT68" s="30" t="e">
        <f>BQ68+1</f>
        <v>#REF!</v>
      </c>
      <c r="BU68" s="199" t="s">
        <v>9</v>
      </c>
      <c r="BV68" s="203"/>
      <c r="BW68" s="30" t="e">
        <f>BT68+1</f>
        <v>#REF!</v>
      </c>
      <c r="BX68" s="199" t="s">
        <v>9</v>
      </c>
      <c r="BY68" s="203"/>
      <c r="BZ68" s="30" t="e">
        <f>BW68+1</f>
        <v>#REF!</v>
      </c>
      <c r="CA68" s="199" t="s">
        <v>9</v>
      </c>
      <c r="CB68" s="203"/>
      <c r="CC68" s="30" t="e">
        <f>BZ68+1</f>
        <v>#REF!</v>
      </c>
      <c r="CD68" s="30"/>
      <c r="CE68" s="31"/>
    </row>
    <row r="69" spans="1:83" hidden="1" x14ac:dyDescent="0.2">
      <c r="A69" s="32"/>
      <c r="B69" s="32"/>
      <c r="C69" s="32"/>
      <c r="D69" s="32"/>
      <c r="E69" s="32" t="s">
        <v>11</v>
      </c>
      <c r="F69" s="32"/>
      <c r="G69" s="32"/>
      <c r="H69" s="32"/>
      <c r="I69" s="32"/>
      <c r="J69" s="154">
        <v>1</v>
      </c>
      <c r="K69" s="154">
        <v>0</v>
      </c>
      <c r="L69" s="32">
        <v>0</v>
      </c>
      <c r="M69" s="32">
        <v>1</v>
      </c>
      <c r="N69" s="32">
        <v>0</v>
      </c>
      <c r="O69" s="32">
        <v>0</v>
      </c>
      <c r="P69" s="32">
        <v>1</v>
      </c>
      <c r="Q69" s="32">
        <v>0</v>
      </c>
      <c r="R69" s="32">
        <v>0</v>
      </c>
      <c r="S69" s="32">
        <v>1</v>
      </c>
      <c r="T69" s="32">
        <v>0</v>
      </c>
      <c r="U69" s="32">
        <v>0</v>
      </c>
      <c r="V69" s="32">
        <v>1</v>
      </c>
      <c r="W69" s="32">
        <v>0</v>
      </c>
      <c r="X69" s="32">
        <v>0</v>
      </c>
      <c r="Y69" s="32">
        <v>1</v>
      </c>
      <c r="Z69" s="32">
        <v>0</v>
      </c>
      <c r="AA69" s="32">
        <v>0</v>
      </c>
      <c r="AB69" s="32">
        <v>1</v>
      </c>
      <c r="AC69" s="32">
        <v>0</v>
      </c>
      <c r="AD69" s="32">
        <v>0</v>
      </c>
      <c r="AE69" s="32">
        <v>1</v>
      </c>
      <c r="AF69" s="32">
        <v>0</v>
      </c>
      <c r="AG69" s="32">
        <v>0</v>
      </c>
      <c r="AH69" s="32">
        <v>1</v>
      </c>
      <c r="AI69" s="32">
        <v>0</v>
      </c>
      <c r="AJ69" s="32">
        <v>0</v>
      </c>
      <c r="AK69" s="32">
        <v>1</v>
      </c>
      <c r="AL69" s="32">
        <v>0</v>
      </c>
      <c r="AM69" s="32">
        <v>0</v>
      </c>
      <c r="AN69" s="32">
        <v>1</v>
      </c>
      <c r="AO69" s="32">
        <v>0</v>
      </c>
      <c r="AP69" s="32">
        <v>0</v>
      </c>
      <c r="AQ69" s="32">
        <v>1</v>
      </c>
      <c r="AR69" s="32">
        <v>0</v>
      </c>
      <c r="AS69" s="32">
        <v>0</v>
      </c>
      <c r="AT69" s="32">
        <v>1</v>
      </c>
      <c r="AU69" s="32">
        <v>0</v>
      </c>
      <c r="AV69" s="32">
        <v>0</v>
      </c>
      <c r="AW69" s="32">
        <v>1</v>
      </c>
      <c r="AX69" s="32">
        <v>0</v>
      </c>
      <c r="AY69" s="32">
        <v>0</v>
      </c>
      <c r="AZ69" s="32">
        <v>1</v>
      </c>
      <c r="BA69" s="32">
        <v>0</v>
      </c>
      <c r="BB69" s="32">
        <v>0</v>
      </c>
      <c r="BC69" s="32">
        <v>1</v>
      </c>
      <c r="BD69" s="32">
        <v>0</v>
      </c>
      <c r="BE69" s="32">
        <v>0</v>
      </c>
      <c r="BF69" s="32">
        <v>1</v>
      </c>
      <c r="BG69" s="32">
        <v>0</v>
      </c>
      <c r="BH69" s="32">
        <v>0</v>
      </c>
      <c r="BI69" s="32">
        <v>1</v>
      </c>
      <c r="BJ69" s="32">
        <v>0</v>
      </c>
      <c r="BK69" s="32">
        <v>0</v>
      </c>
      <c r="BL69" s="32">
        <v>1</v>
      </c>
      <c r="BM69" s="32">
        <v>0</v>
      </c>
      <c r="BN69" s="32">
        <v>0</v>
      </c>
      <c r="BO69" s="32">
        <v>1</v>
      </c>
      <c r="BP69" s="32">
        <v>0</v>
      </c>
      <c r="BQ69" s="32">
        <v>0</v>
      </c>
      <c r="BR69" s="32">
        <v>1</v>
      </c>
      <c r="BS69" s="32">
        <v>0</v>
      </c>
      <c r="BT69" s="32">
        <v>0</v>
      </c>
      <c r="BU69" s="32">
        <v>1</v>
      </c>
      <c r="BV69" s="32">
        <v>0</v>
      </c>
      <c r="BW69" s="32">
        <v>0</v>
      </c>
      <c r="BX69" s="32">
        <v>1</v>
      </c>
      <c r="BY69" s="32">
        <v>0</v>
      </c>
      <c r="BZ69" s="32">
        <v>0</v>
      </c>
      <c r="CA69" s="32">
        <v>1</v>
      </c>
      <c r="CB69" s="32">
        <v>0</v>
      </c>
      <c r="CC69" s="32">
        <v>0</v>
      </c>
      <c r="CD69" s="32"/>
      <c r="CE69" s="33"/>
    </row>
    <row r="70" spans="1:83" hidden="1" x14ac:dyDescent="0.2">
      <c r="A70" s="34"/>
      <c r="B70" s="34"/>
      <c r="C70" s="34"/>
      <c r="D70" s="34"/>
      <c r="E70" s="32" t="s">
        <v>13</v>
      </c>
      <c r="F70" s="32"/>
      <c r="G70" s="32"/>
      <c r="H70" s="32"/>
      <c r="I70" s="32"/>
      <c r="J70" s="24">
        <v>0</v>
      </c>
      <c r="K70" s="154">
        <v>1</v>
      </c>
      <c r="L70" s="32">
        <v>0</v>
      </c>
      <c r="M70" s="35">
        <v>0</v>
      </c>
      <c r="N70" s="32">
        <v>1</v>
      </c>
      <c r="O70" s="32">
        <v>0</v>
      </c>
      <c r="P70" s="35">
        <v>0</v>
      </c>
      <c r="Q70" s="32">
        <v>1</v>
      </c>
      <c r="R70" s="32">
        <v>0</v>
      </c>
      <c r="S70" s="35">
        <v>0</v>
      </c>
      <c r="T70" s="32">
        <v>1</v>
      </c>
      <c r="U70" s="32">
        <v>0</v>
      </c>
      <c r="V70" s="35">
        <v>0</v>
      </c>
      <c r="W70" s="32">
        <v>1</v>
      </c>
      <c r="X70" s="32">
        <v>0</v>
      </c>
      <c r="Y70" s="35">
        <v>0</v>
      </c>
      <c r="Z70" s="32">
        <v>1</v>
      </c>
      <c r="AA70" s="32">
        <v>0</v>
      </c>
      <c r="AB70" s="35">
        <v>0</v>
      </c>
      <c r="AC70" s="32">
        <v>1</v>
      </c>
      <c r="AD70" s="32">
        <v>0</v>
      </c>
      <c r="AE70" s="35">
        <v>0</v>
      </c>
      <c r="AF70" s="32">
        <v>1</v>
      </c>
      <c r="AG70" s="32">
        <v>0</v>
      </c>
      <c r="AH70" s="35">
        <v>0</v>
      </c>
      <c r="AI70" s="32">
        <v>1</v>
      </c>
      <c r="AJ70" s="32">
        <v>0</v>
      </c>
      <c r="AK70" s="35">
        <v>0</v>
      </c>
      <c r="AL70" s="32">
        <v>1</v>
      </c>
      <c r="AM70" s="32">
        <v>0</v>
      </c>
      <c r="AN70" s="35">
        <v>0</v>
      </c>
      <c r="AO70" s="32">
        <v>1</v>
      </c>
      <c r="AP70" s="32">
        <v>0</v>
      </c>
      <c r="AQ70" s="35">
        <v>0</v>
      </c>
      <c r="AR70" s="32">
        <v>1</v>
      </c>
      <c r="AS70" s="32">
        <v>0</v>
      </c>
      <c r="AT70" s="35">
        <v>0</v>
      </c>
      <c r="AU70" s="32">
        <v>1</v>
      </c>
      <c r="AV70" s="32">
        <v>0</v>
      </c>
      <c r="AW70" s="35">
        <v>0</v>
      </c>
      <c r="AX70" s="32">
        <v>1</v>
      </c>
      <c r="AY70" s="32">
        <v>0</v>
      </c>
      <c r="AZ70" s="35">
        <v>0</v>
      </c>
      <c r="BA70" s="32">
        <v>1</v>
      </c>
      <c r="BB70" s="32">
        <v>0</v>
      </c>
      <c r="BC70" s="35">
        <v>0</v>
      </c>
      <c r="BD70" s="32">
        <v>1</v>
      </c>
      <c r="BE70" s="32">
        <v>0</v>
      </c>
      <c r="BF70" s="35">
        <v>0</v>
      </c>
      <c r="BG70" s="32">
        <v>1</v>
      </c>
      <c r="BH70" s="32">
        <v>0</v>
      </c>
      <c r="BI70" s="35">
        <v>0</v>
      </c>
      <c r="BJ70" s="32">
        <v>1</v>
      </c>
      <c r="BK70" s="32">
        <v>0</v>
      </c>
      <c r="BL70" s="35">
        <v>0</v>
      </c>
      <c r="BM70" s="32">
        <v>1</v>
      </c>
      <c r="BN70" s="32">
        <v>0</v>
      </c>
      <c r="BO70" s="35">
        <v>0</v>
      </c>
      <c r="BP70" s="32">
        <v>1</v>
      </c>
      <c r="BQ70" s="32">
        <v>0</v>
      </c>
      <c r="BR70" s="35">
        <v>0</v>
      </c>
      <c r="BS70" s="32">
        <v>1</v>
      </c>
      <c r="BT70" s="32">
        <v>0</v>
      </c>
      <c r="BU70" s="35">
        <v>0</v>
      </c>
      <c r="BV70" s="32">
        <v>1</v>
      </c>
      <c r="BW70" s="32">
        <v>0</v>
      </c>
      <c r="BX70" s="35">
        <v>0</v>
      </c>
      <c r="BY70" s="32">
        <v>1</v>
      </c>
      <c r="BZ70" s="32">
        <v>0</v>
      </c>
      <c r="CA70" s="35">
        <v>0</v>
      </c>
      <c r="CB70" s="32">
        <v>1</v>
      </c>
      <c r="CC70" s="32">
        <v>0</v>
      </c>
      <c r="CD70" s="32"/>
    </row>
    <row r="71" spans="1:83" hidden="1" x14ac:dyDescent="0.2">
      <c r="A71" s="32"/>
      <c r="B71" s="32"/>
      <c r="C71" s="32"/>
      <c r="D71" s="32"/>
      <c r="E71" s="36" t="s">
        <v>14</v>
      </c>
      <c r="F71" s="32"/>
      <c r="G71" s="32"/>
      <c r="H71" s="32"/>
      <c r="I71" s="32"/>
      <c r="J71" s="24">
        <v>0</v>
      </c>
      <c r="K71" s="154">
        <v>0</v>
      </c>
      <c r="L71" s="32">
        <v>1</v>
      </c>
      <c r="M71" s="35">
        <v>0</v>
      </c>
      <c r="N71" s="32">
        <v>0</v>
      </c>
      <c r="O71" s="32">
        <v>1</v>
      </c>
      <c r="P71" s="35">
        <v>0</v>
      </c>
      <c r="Q71" s="32">
        <v>0</v>
      </c>
      <c r="R71" s="32">
        <v>1</v>
      </c>
      <c r="S71" s="35">
        <v>0</v>
      </c>
      <c r="T71" s="32">
        <v>0</v>
      </c>
      <c r="U71" s="32">
        <v>1</v>
      </c>
      <c r="V71" s="35">
        <v>0</v>
      </c>
      <c r="W71" s="32">
        <v>0</v>
      </c>
      <c r="X71" s="32">
        <v>1</v>
      </c>
      <c r="Y71" s="35">
        <v>0</v>
      </c>
      <c r="Z71" s="32">
        <v>0</v>
      </c>
      <c r="AA71" s="32">
        <v>1</v>
      </c>
      <c r="AB71" s="35">
        <v>0</v>
      </c>
      <c r="AC71" s="32">
        <v>0</v>
      </c>
      <c r="AD71" s="32">
        <v>1</v>
      </c>
      <c r="AE71" s="35">
        <v>0</v>
      </c>
      <c r="AF71" s="32">
        <v>0</v>
      </c>
      <c r="AG71" s="32">
        <v>1</v>
      </c>
      <c r="AH71" s="35">
        <v>0</v>
      </c>
      <c r="AI71" s="32">
        <v>0</v>
      </c>
      <c r="AJ71" s="32">
        <v>1</v>
      </c>
      <c r="AK71" s="35">
        <v>0</v>
      </c>
      <c r="AL71" s="32">
        <v>0</v>
      </c>
      <c r="AM71" s="32">
        <v>1</v>
      </c>
      <c r="AN71" s="35">
        <v>0</v>
      </c>
      <c r="AO71" s="32">
        <v>0</v>
      </c>
      <c r="AP71" s="32">
        <v>1</v>
      </c>
      <c r="AQ71" s="35">
        <v>0</v>
      </c>
      <c r="AR71" s="32">
        <v>0</v>
      </c>
      <c r="AS71" s="32">
        <v>1</v>
      </c>
      <c r="AT71" s="35">
        <v>0</v>
      </c>
      <c r="AU71" s="32">
        <v>0</v>
      </c>
      <c r="AV71" s="32">
        <v>1</v>
      </c>
      <c r="AW71" s="35">
        <v>0</v>
      </c>
      <c r="AX71" s="32">
        <v>0</v>
      </c>
      <c r="AY71" s="32">
        <v>1</v>
      </c>
      <c r="AZ71" s="35">
        <v>0</v>
      </c>
      <c r="BA71" s="32">
        <v>0</v>
      </c>
      <c r="BB71" s="32">
        <v>1</v>
      </c>
      <c r="BC71" s="35">
        <v>0</v>
      </c>
      <c r="BD71" s="32">
        <v>0</v>
      </c>
      <c r="BE71" s="32">
        <v>1</v>
      </c>
      <c r="BF71" s="35">
        <v>0</v>
      </c>
      <c r="BG71" s="32">
        <v>0</v>
      </c>
      <c r="BH71" s="32">
        <v>1</v>
      </c>
      <c r="BI71" s="35">
        <v>0</v>
      </c>
      <c r="BJ71" s="32">
        <v>0</v>
      </c>
      <c r="BK71" s="32">
        <v>1</v>
      </c>
      <c r="BL71" s="35">
        <v>0</v>
      </c>
      <c r="BM71" s="32">
        <v>0</v>
      </c>
      <c r="BN71" s="32">
        <v>1</v>
      </c>
      <c r="BO71" s="35">
        <v>0</v>
      </c>
      <c r="BP71" s="32">
        <v>0</v>
      </c>
      <c r="BQ71" s="32">
        <v>1</v>
      </c>
      <c r="BR71" s="35">
        <v>0</v>
      </c>
      <c r="BS71" s="32">
        <v>0</v>
      </c>
      <c r="BT71" s="32">
        <v>1</v>
      </c>
      <c r="BU71" s="35">
        <v>0</v>
      </c>
      <c r="BV71" s="32">
        <v>0</v>
      </c>
      <c r="BW71" s="32">
        <v>1</v>
      </c>
      <c r="BX71" s="35">
        <v>0</v>
      </c>
      <c r="BY71" s="32">
        <v>0</v>
      </c>
      <c r="BZ71" s="32">
        <v>1</v>
      </c>
      <c r="CA71" s="35">
        <v>0</v>
      </c>
      <c r="CB71" s="32">
        <v>0</v>
      </c>
      <c r="CC71" s="32">
        <v>1</v>
      </c>
      <c r="CD71" s="32"/>
    </row>
    <row r="72" spans="1:83" x14ac:dyDescent="0.2">
      <c r="A72" s="37">
        <v>300</v>
      </c>
      <c r="B72" s="37">
        <v>300</v>
      </c>
      <c r="C72" s="37">
        <v>300</v>
      </c>
      <c r="D72" s="37" t="s">
        <v>90</v>
      </c>
      <c r="E72" s="38" t="s">
        <v>86</v>
      </c>
      <c r="F72" s="38"/>
      <c r="G72" s="38"/>
      <c r="H72" s="38"/>
      <c r="I72" s="39">
        <f>SUBTOTAL(109,I$4:I$67)</f>
        <v>160</v>
      </c>
      <c r="J72" s="155">
        <f>SUBTOTAL(109,J$4:J$67)</f>
        <v>16</v>
      </c>
      <c r="K72" s="155">
        <f>SUBTOTAL(109,K$4:K$66)</f>
        <v>137</v>
      </c>
      <c r="L72" s="39"/>
      <c r="M72" s="39">
        <f>SUBTOTAL(109,M$4:M$67)</f>
        <v>20</v>
      </c>
      <c r="N72" s="39">
        <f>SUBTOTAL(109,N$4:N$66)</f>
        <v>115</v>
      </c>
      <c r="O72" s="39"/>
      <c r="P72" s="39">
        <f>SUBTOTAL(109,P$4:P$67)</f>
        <v>23</v>
      </c>
      <c r="Q72" s="39">
        <f>SUBTOTAL(109,Q$4:Q$66)</f>
        <v>92</v>
      </c>
      <c r="R72" s="39"/>
      <c r="S72" s="39">
        <f>SUBTOTAL(109,S$4:S$67)</f>
        <v>17</v>
      </c>
      <c r="T72" s="39">
        <f>SUBTOTAL(109,T$4:T$66)</f>
        <v>75</v>
      </c>
      <c r="U72" s="39"/>
      <c r="V72" s="39">
        <f>SUBTOTAL(109,V$4:V$67)</f>
        <v>17</v>
      </c>
      <c r="W72" s="39">
        <f>SUBTOTAL(109,W$4:W$66)</f>
        <v>58</v>
      </c>
      <c r="X72" s="39"/>
      <c r="Y72" s="39">
        <f>SUBTOTAL(109,Y$4:Y$67)</f>
        <v>16</v>
      </c>
      <c r="Z72" s="39">
        <f>SUBTOTAL(109,Z$4:Z$66)</f>
        <v>42</v>
      </c>
      <c r="AA72" s="39"/>
      <c r="AB72" s="39">
        <f>SUBTOTAL(109,AB$4:AB$67)</f>
        <v>8</v>
      </c>
      <c r="AC72" s="39">
        <f>SUBTOTAL(109,AC$4:AC$66)</f>
        <v>35</v>
      </c>
      <c r="AD72" s="39"/>
      <c r="AE72" s="39">
        <f>SUBTOTAL(109,AE$4:AE$67)</f>
        <v>7</v>
      </c>
      <c r="AF72" s="39">
        <f>SUBTOTAL(109,AF$4:AF$66)</f>
        <v>28</v>
      </c>
      <c r="AG72" s="39"/>
      <c r="AH72" s="39">
        <f>SUBTOTAL(109,AH$4:AH$67)</f>
        <v>8</v>
      </c>
      <c r="AI72" s="39">
        <f>SUBTOTAL(109,AI$4:AI$66)</f>
        <v>20</v>
      </c>
      <c r="AJ72" s="39"/>
      <c r="AK72" s="39">
        <f>SUBTOTAL(109,AK$4:AK$67)</f>
        <v>8</v>
      </c>
      <c r="AL72" s="39">
        <f>SUBTOTAL(109,AL$4:AL$66)</f>
        <v>12</v>
      </c>
      <c r="AM72" s="39"/>
      <c r="AN72" s="39">
        <f>SUBTOTAL(109,AN$4:AN$67)</f>
        <v>7</v>
      </c>
      <c r="AO72" s="39">
        <f>SUBTOTAL(109,AO$4:AO$66)</f>
        <v>5</v>
      </c>
      <c r="AP72" s="39"/>
      <c r="AQ72" s="39">
        <f>SUBTOTAL(109,AQ$4:AQ$67)</f>
        <v>5</v>
      </c>
      <c r="AR72" s="39">
        <f>SUBTOTAL(109,AR$4:AR$66)</f>
        <v>0</v>
      </c>
      <c r="AS72" s="39"/>
      <c r="AT72" s="39">
        <f>SUBTOTAL(109,AT$4:AT$67)</f>
        <v>0</v>
      </c>
      <c r="AU72" s="39">
        <f>SUBTOTAL(109,AU$4:AU$66)</f>
        <v>0</v>
      </c>
      <c r="AV72" s="39"/>
      <c r="AW72" s="39">
        <f>SUBTOTAL(109,AW$4:AW$67)</f>
        <v>0</v>
      </c>
      <c r="AX72" s="39">
        <f>SUBTOTAL(109,AX$4:AX$66)</f>
        <v>0</v>
      </c>
      <c r="AY72" s="39"/>
      <c r="AZ72" s="39">
        <f t="shared" ref="AZ72:CC72" si="215">SUBTOTAL(109,AZ$4:AZ$66)</f>
        <v>0</v>
      </c>
      <c r="BA72" s="39">
        <f t="shared" si="215"/>
        <v>0</v>
      </c>
      <c r="BB72" s="39">
        <f t="shared" si="215"/>
        <v>0</v>
      </c>
      <c r="BC72" s="39">
        <f t="shared" si="215"/>
        <v>0</v>
      </c>
      <c r="BD72" s="39">
        <f t="shared" si="215"/>
        <v>0</v>
      </c>
      <c r="BE72" s="39">
        <f t="shared" si="215"/>
        <v>0</v>
      </c>
      <c r="BF72" s="39">
        <f t="shared" si="215"/>
        <v>0</v>
      </c>
      <c r="BG72" s="39">
        <f t="shared" si="215"/>
        <v>0</v>
      </c>
      <c r="BH72" s="39">
        <f t="shared" si="215"/>
        <v>0</v>
      </c>
      <c r="BI72" s="39">
        <f t="shared" si="215"/>
        <v>0</v>
      </c>
      <c r="BJ72" s="39">
        <f t="shared" si="215"/>
        <v>0</v>
      </c>
      <c r="BK72" s="39">
        <f t="shared" si="215"/>
        <v>0</v>
      </c>
      <c r="BL72" s="39">
        <f t="shared" si="215"/>
        <v>0</v>
      </c>
      <c r="BM72" s="39">
        <f t="shared" si="215"/>
        <v>0</v>
      </c>
      <c r="BN72" s="39">
        <f t="shared" si="215"/>
        <v>0</v>
      </c>
      <c r="BO72" s="39">
        <f t="shared" si="215"/>
        <v>0</v>
      </c>
      <c r="BP72" s="39">
        <f t="shared" si="215"/>
        <v>0</v>
      </c>
      <c r="BQ72" s="39">
        <f t="shared" si="215"/>
        <v>0</v>
      </c>
      <c r="BR72" s="39">
        <f t="shared" si="215"/>
        <v>0</v>
      </c>
      <c r="BS72" s="39">
        <f t="shared" si="215"/>
        <v>0</v>
      </c>
      <c r="BT72" s="39">
        <f t="shared" si="215"/>
        <v>0</v>
      </c>
      <c r="BU72" s="39">
        <f t="shared" si="215"/>
        <v>0</v>
      </c>
      <c r="BV72" s="39">
        <f t="shared" si="215"/>
        <v>0</v>
      </c>
      <c r="BW72" s="39">
        <f t="shared" si="215"/>
        <v>0</v>
      </c>
      <c r="BX72" s="39">
        <f t="shared" si="215"/>
        <v>0</v>
      </c>
      <c r="BY72" s="39">
        <f t="shared" si="215"/>
        <v>0</v>
      </c>
      <c r="BZ72" s="39">
        <f t="shared" si="215"/>
        <v>0</v>
      </c>
      <c r="CA72" s="39">
        <f t="shared" si="215"/>
        <v>0</v>
      </c>
      <c r="CB72" s="39">
        <f t="shared" si="215"/>
        <v>0</v>
      </c>
      <c r="CC72" s="39">
        <f t="shared" si="215"/>
        <v>0</v>
      </c>
      <c r="CD72" s="38"/>
      <c r="CE72" s="40"/>
    </row>
    <row r="73" spans="1:83" x14ac:dyDescent="0.2">
      <c r="A73" s="41"/>
      <c r="B73" s="41"/>
      <c r="C73" s="41"/>
      <c r="D73" s="41"/>
      <c r="E73" s="41"/>
      <c r="F73" s="41"/>
      <c r="G73" s="41"/>
      <c r="H73" s="41"/>
      <c r="I73" s="41"/>
      <c r="J73" s="156"/>
      <c r="K73" s="157"/>
      <c r="L73" s="41"/>
      <c r="M73" s="42"/>
      <c r="N73" s="41"/>
      <c r="O73" s="41"/>
      <c r="P73" s="42"/>
      <c r="Q73" s="41"/>
      <c r="R73" s="41"/>
      <c r="S73" s="42"/>
      <c r="T73" s="41"/>
      <c r="U73" s="41"/>
      <c r="V73" s="42"/>
      <c r="W73" s="41"/>
      <c r="X73" s="41"/>
      <c r="Y73" s="42"/>
      <c r="Z73" s="41"/>
      <c r="AA73" s="41"/>
      <c r="AB73" s="42"/>
      <c r="AC73" s="41"/>
      <c r="AD73" s="41"/>
      <c r="AE73" s="42"/>
      <c r="AF73" s="41"/>
      <c r="AG73" s="41"/>
      <c r="AH73" s="42"/>
      <c r="AI73" s="41"/>
      <c r="AJ73" s="41"/>
      <c r="AK73" s="42"/>
      <c r="AL73" s="41"/>
      <c r="AM73" s="41"/>
      <c r="AN73" s="42"/>
      <c r="AO73" s="41"/>
      <c r="AP73" s="41"/>
      <c r="AQ73" s="42"/>
      <c r="AR73" s="41"/>
      <c r="AS73" s="41"/>
      <c r="AT73" s="42"/>
      <c r="AU73" s="41"/>
      <c r="AV73" s="41"/>
      <c r="AW73" s="42"/>
      <c r="AX73" s="41"/>
      <c r="AY73" s="41"/>
      <c r="AZ73" s="42"/>
      <c r="BA73" s="41"/>
      <c r="BB73" s="41"/>
      <c r="BC73" s="42"/>
      <c r="BD73" s="41"/>
      <c r="BE73" s="41"/>
      <c r="BF73" s="42"/>
      <c r="BG73" s="41"/>
      <c r="BH73" s="41"/>
      <c r="BI73" s="42"/>
      <c r="BJ73" s="41"/>
      <c r="BK73" s="41"/>
      <c r="BL73" s="42"/>
      <c r="BM73" s="41"/>
      <c r="BN73" s="41"/>
      <c r="BO73" s="42"/>
      <c r="BP73" s="41"/>
      <c r="BQ73" s="41"/>
      <c r="BR73" s="42"/>
      <c r="BS73" s="41"/>
      <c r="BT73" s="41"/>
      <c r="BU73" s="42"/>
      <c r="BV73" s="41"/>
      <c r="BW73" s="41"/>
      <c r="BX73" s="42"/>
      <c r="BY73" s="41"/>
      <c r="BZ73" s="41"/>
      <c r="CA73" s="42"/>
      <c r="CB73" s="41"/>
      <c r="CC73" s="41"/>
      <c r="CD73" s="41"/>
    </row>
    <row r="74" spans="1:83" x14ac:dyDescent="0.2">
      <c r="A74" s="41"/>
      <c r="B74" s="41"/>
      <c r="C74" s="41"/>
      <c r="D74" s="41"/>
      <c r="E74" s="41"/>
      <c r="F74" s="41"/>
      <c r="G74" s="41"/>
      <c r="H74" s="41"/>
      <c r="I74" s="41"/>
      <c r="J74" s="156"/>
      <c r="K74" s="157"/>
      <c r="L74" s="41"/>
      <c r="M74" s="42"/>
      <c r="N74" s="41"/>
      <c r="O74" s="41"/>
      <c r="P74" s="42"/>
      <c r="Q74" s="41"/>
      <c r="R74" s="41"/>
      <c r="S74" s="42"/>
      <c r="T74" s="41"/>
      <c r="U74" s="41"/>
      <c r="V74" s="42"/>
      <c r="W74" s="41"/>
      <c r="X74" s="41"/>
      <c r="Y74" s="42"/>
      <c r="Z74" s="41"/>
      <c r="AA74" s="41"/>
      <c r="AB74" s="42"/>
      <c r="AC74" s="41"/>
      <c r="AD74" s="41"/>
      <c r="AE74" s="42"/>
      <c r="AF74" s="41"/>
      <c r="AG74" s="41"/>
      <c r="AH74" s="42"/>
      <c r="AI74" s="41"/>
      <c r="AJ74" s="41"/>
      <c r="AK74" s="42"/>
      <c r="AL74" s="41"/>
      <c r="AM74" s="41"/>
      <c r="AN74" s="42"/>
      <c r="AO74" s="41"/>
      <c r="AP74" s="41"/>
      <c r="AQ74" s="42"/>
      <c r="AR74" s="41"/>
      <c r="AS74" s="41"/>
      <c r="AT74" s="42"/>
      <c r="AU74" s="41"/>
      <c r="AV74" s="41"/>
      <c r="AW74" s="42"/>
      <c r="AX74" s="41"/>
      <c r="AY74" s="41"/>
      <c r="AZ74" s="42"/>
      <c r="BA74" s="41"/>
      <c r="BB74" s="41"/>
      <c r="BC74" s="42"/>
      <c r="BD74" s="41"/>
      <c r="BE74" s="41"/>
      <c r="BF74" s="42"/>
      <c r="BG74" s="41"/>
      <c r="BH74" s="41"/>
      <c r="BI74" s="42"/>
      <c r="BJ74" s="41"/>
      <c r="BK74" s="41"/>
      <c r="BL74" s="42"/>
      <c r="BM74" s="41"/>
      <c r="BN74" s="41"/>
      <c r="BO74" s="42"/>
      <c r="BP74" s="41"/>
      <c r="BQ74" s="41"/>
      <c r="BR74" s="42"/>
      <c r="BS74" s="41"/>
      <c r="BT74" s="41"/>
      <c r="BU74" s="42"/>
      <c r="BV74" s="41"/>
      <c r="BW74" s="41"/>
      <c r="BX74" s="42"/>
      <c r="BY74" s="41"/>
      <c r="BZ74" s="41"/>
      <c r="CA74" s="42"/>
      <c r="CB74" s="41"/>
      <c r="CC74" s="41"/>
      <c r="CD74" s="41"/>
    </row>
    <row r="75" spans="1:83" x14ac:dyDescent="0.2">
      <c r="A75" s="41"/>
      <c r="B75" s="41"/>
      <c r="C75" s="41"/>
      <c r="D75" s="41"/>
      <c r="E75" s="41"/>
      <c r="F75" s="41"/>
      <c r="G75" s="41"/>
    </row>
    <row r="76" spans="1:83" x14ac:dyDescent="0.2">
      <c r="A76" s="41"/>
      <c r="B76" s="41"/>
      <c r="C76" s="41"/>
      <c r="D76" s="41"/>
      <c r="E76" s="41"/>
      <c r="F76" s="41"/>
      <c r="G76" s="41"/>
    </row>
  </sheetData>
  <autoFilter ref="C3:CE66">
    <filterColumn colId="3">
      <filters>
        <filter val="Christian"/>
        <filter val="Fernando"/>
        <filter val="Gris"/>
        <filter val="Ramiro"/>
      </filters>
    </filterColumn>
  </autoFilter>
  <mergeCells count="48">
    <mergeCell ref="AE68:AF68"/>
    <mergeCell ref="AB68:AC68"/>
    <mergeCell ref="Y68:Z68"/>
    <mergeCell ref="AE1:AG1"/>
    <mergeCell ref="AB1:AD1"/>
    <mergeCell ref="Y1:AA1"/>
    <mergeCell ref="BX1:BZ1"/>
    <mergeCell ref="BX68:BY68"/>
    <mergeCell ref="CA1:CC1"/>
    <mergeCell ref="CA68:CB68"/>
    <mergeCell ref="BR1:BT1"/>
    <mergeCell ref="BR68:BS68"/>
    <mergeCell ref="BU1:BW1"/>
    <mergeCell ref="BU68:BV68"/>
    <mergeCell ref="BL1:BN1"/>
    <mergeCell ref="BL68:BM68"/>
    <mergeCell ref="BO1:BQ1"/>
    <mergeCell ref="BO68:BP68"/>
    <mergeCell ref="AZ1:BB1"/>
    <mergeCell ref="AZ68:BA68"/>
    <mergeCell ref="BC1:BE1"/>
    <mergeCell ref="BC68:BD68"/>
    <mergeCell ref="BF1:BH1"/>
    <mergeCell ref="BF68:BG68"/>
    <mergeCell ref="BI1:BK1"/>
    <mergeCell ref="BI68:BJ68"/>
    <mergeCell ref="V1:X1"/>
    <mergeCell ref="J68:K68"/>
    <mergeCell ref="M68:N68"/>
    <mergeCell ref="P68:Q68"/>
    <mergeCell ref="S68:T68"/>
    <mergeCell ref="V68:W68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8:AU68"/>
    <mergeCell ref="AW68:AX68"/>
    <mergeCell ref="AH68:AI68"/>
    <mergeCell ref="AK68:AL68"/>
    <mergeCell ref="AN68:AO68"/>
    <mergeCell ref="AQ68:AR68"/>
  </mergeCells>
  <phoneticPr fontId="2" type="noConversion"/>
  <conditionalFormatting sqref="I72">
    <cfRule type="cellIs" dxfId="408" priority="516" stopIfTrue="1" operator="lessThan">
      <formula>C72*0.75</formula>
    </cfRule>
    <cfRule type="cellIs" dxfId="407" priority="516" stopIfTrue="1" operator="between">
      <formula>C72*0.75</formula>
      <formula>#REF!</formula>
    </cfRule>
    <cfRule type="cellIs" dxfId="406" priority="516" stopIfTrue="1" operator="greaterThan">
      <formula>C72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05" priority="508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04" priority="509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03" priority="510" stopIfTrue="1">
      <formula>J$1=TODAY()+DailyScrumDateModifier</formula>
    </cfRule>
  </conditionalFormatting>
  <conditionalFormatting sqref="CA4:CA5 BX4:BX5 BU4:BU5 BR4:BR5 BO4:BO5 BL4:BL5 BI4:BI5 BI7:BI16 BL7:BL16 BO7:BO16 BR7:BR16 BU7:BU16 BX7:BX16 CA7:CA16 M30:M66 P30:P66 S30:S66 V30:V66 Y30:Y66 AB30:AB66 AE30:AE66 AH30:AH66 AK30:AK66 AN30:AN66 AQ30:AQ66 BF30:BF66 BC30:BC66 AZ30:AZ66 AT30:AT66 AW30:AW66 CA18:CA19 BX18:BX19 BU18:BU19 BR18:BR19 BO18:BO19 BL18:BL19 BI18:BI19 J4:J19 J30:J66 BI30:BI66 BL30:BL66 BO30:BO66 BR30:BR66 BU30:BU66 BX30:BX66 CA30:CA66">
    <cfRule type="expression" dxfId="402" priority="519" stopIfTrue="1">
      <formula>J$1=TODAY()+DailyScrumDateModifier</formula>
    </cfRule>
    <cfRule type="expression" dxfId="401" priority="519" stopIfTrue="1">
      <formula>MOD(ROW(),2)</formula>
    </cfRule>
  </conditionalFormatting>
  <conditionalFormatting sqref="N4:N5 K4:K5 AR4:AR5 AL4:AL5 AF4:AF5 AC4:AC5 Z4:Z5 W4:W5 Q4:Q5 T4:T5 AI4:AI5 AO4:AO5 AX4:AX5 AU4:AU5 BG4:BG5 BD4:BD5 BA4:BA5 CB4:CB5 BY4:BY5 BV4:BV5 BS4:BS5 BP4:BP5 BM4:BM5 BJ4:BJ5 BJ7:BJ16 BM7:BM16 BP7:BP16 BS7:BS16 BV7:BV16 BY7:BY16 CB7:CB16 BA7:BA16 BD7:BD16 BG7:BG16 AU7:AU16 AX7:AX16 AO7:AO16 AI7:AI16 T7:T16 Q7:Q16 W7:W16 Z7:Z16 AC7:AC16 AF7:AF16 AL7:AL16 AR7:AR16 K7:K16 N7:N16 N18:N19 K18:K19 AR18:AR19 AL18:AL19 AF18:AF19 AC18:AC19 Z18:Z19 W18:W19 Q18:Q19 T18:T19 AI18:AI19 AO18:AO19 AX18:AX19 AU18:AU19 BG18:BG19 BD18:BD19 BA18:BA19 CB18:CB19 BY18:BY19 BV18:BV19 BS18:BS19 BP18:BP19 BM18:BM19 BJ18:BJ19 BJ30:BJ66 BM30:BM66 BP30:BP66 BS30:BS66 BV30:BV66 BY30:BY66 CB30:CB66 BA30:BA66 BD30:BD66 BG30:BG66 AU30:AU66 AX30:AX66 AO30:AO66 AI30:AI66 T30:T66 Q30:Q66 W30:W66 Z30:Z66 AC30:AC66 AF30:AF66 AL30:AL66 AR30:AR66 K30:K66 N30:N66">
    <cfRule type="expression" dxfId="400" priority="521" stopIfTrue="1">
      <formula>J$1=TODAY()+DailyScrumDateModifier</formula>
    </cfRule>
    <cfRule type="expression" dxfId="399" priority="521" stopIfTrue="1">
      <formula>MOD(ROW(),2)</formula>
    </cfRule>
  </conditionalFormatting>
  <conditionalFormatting sqref="A12:B12 D12 A4:D5 A13:D16 H4:I5 CE4:CE5 A30:E66 CE7:CE16 H7:I16 A7:D11 H18:I19 CE18:CE19 A18:D19 CE30:CE67 H30:I66">
    <cfRule type="expression" dxfId="398" priority="523" stopIfTrue="1">
      <formula>MOD(ROW(),2)</formula>
    </cfRule>
  </conditionalFormatting>
  <conditionalFormatting sqref="L4:L5 O4:O5 AP4:AP5 AM4:AM5 R4:R5 U4:U5 X4:X5 AA4:AA5 AD4:AD5 AG4:AG5 AJ4:AJ5 AY4:AY5 AV4:AV5 AS4:AS5 BB4:BB5 BE4:BE5 BK4:BK5 BN4:BN5 BQ4:BQ5 BT4:BT5 BW4:BW5 BZ4:BZ5 CC4:CC5 BH4:BH5 BH7:BH16 CC7:CC16 BZ7:BZ16 BW7:BW16 BT7:BT16 BQ7:BQ16 BN7:BN16 BK7:BK16 BE7:BE16 BB7:BB16 AS7:AS16 AV7:AV16 AY7:AY16 AJ7:AJ16 AG7:AG16 AD7:AD16 AA7:AA16 X7:X16 U7:U16 R7:R16 AM7:AM16 AP7:AP16 O7:O16 L7:L16 L18:L19 O18:O19 AP18:AP19 AM18:AM19 R18:R19 U18:U19 X18:X19 AA18:AA19 AD18:AD19 AG18:AG19 AJ18:AJ19 AY18:AY19 AV18:AV19 AS18:AS19 BB18:BB19 BE18:BE19 BK18:BK19 BN18:BN19 BQ18:BQ19 BT18:BT19 BW18:BW19 BZ18:BZ19 CC18:CC19 BH18:BH19 BH30:BH66 CC30:CC66 BZ30:BZ66 BW30:BW66 BT30:BT66 BQ30:BQ66 BN30:BN66 BK30:BK66 BE30:BE66 BB30:BB66 AS30:AS66 AV30:AV66 AY30:AY66 AJ30:AJ66 AG30:AG66 AD30:AD66 AA30:AA66 X30:X66 U30:U66 R30:R66 AM30:AM66 AP30:AP66 O30:O66 L30:L66">
    <cfRule type="cellIs" dxfId="397" priority="524" stopIfTrue="1" operator="equal">
      <formula>"Pending"</formula>
    </cfRule>
    <cfRule type="cellIs" dxfId="396" priority="524" stopIfTrue="1" operator="equal">
      <formula>"In Progress"</formula>
    </cfRule>
    <cfRule type="cellIs" dxfId="395" priority="524" stopIfTrue="1" operator="equal">
      <formula>"Complete"</formula>
    </cfRule>
  </conditionalFormatting>
  <conditionalFormatting sqref="J1:CC1">
    <cfRule type="expression" dxfId="394" priority="511" stopIfTrue="1">
      <formula>J$1=TODAY()+DailyScrumDateModifier</formula>
    </cfRule>
    <cfRule type="expression" dxfId="393" priority="511" stopIfTrue="1">
      <formula>J$1=TODAY()</formula>
    </cfRule>
  </conditionalFormatting>
  <conditionalFormatting sqref="J73:K74 M73:N74">
    <cfRule type="expression" dxfId="392" priority="513" stopIfTrue="1">
      <formula>"I1=TODAY()"</formula>
    </cfRule>
  </conditionalFormatting>
  <conditionalFormatting sqref="G68">
    <cfRule type="cellIs" dxfId="391" priority="514" stopIfTrue="1" operator="equal">
      <formula>"Complete"</formula>
    </cfRule>
    <cfRule type="cellIs" dxfId="390" priority="514" stopIfTrue="1" operator="equal">
      <formula>"In Progress"</formula>
    </cfRule>
  </conditionalFormatting>
  <conditionalFormatting sqref="G4:G66">
    <cfRule type="cellIs" dxfId="389" priority="527" stopIfTrue="1" operator="equal">
      <formula>"Complete"</formula>
    </cfRule>
    <cfRule type="cellIs" dxfId="388" priority="527" stopIfTrue="1" operator="equal">
      <formula>"In Progress"</formula>
    </cfRule>
    <cfRule type="cellIs" dxfId="387" priority="527" stopIfTrue="1" operator="equal">
      <formula>"Pending"</formula>
    </cfRule>
  </conditionalFormatting>
  <conditionalFormatting sqref="E18">
    <cfRule type="expression" dxfId="386" priority="505" stopIfTrue="1">
      <formula>MOD(ROW(),2)</formula>
    </cfRule>
  </conditionalFormatting>
  <conditionalFormatting sqref="E4:E5 E7:E16 E18:E19">
    <cfRule type="expression" dxfId="385" priority="504" stopIfTrue="1">
      <formula>MOD(ROW(),2)</formula>
    </cfRule>
  </conditionalFormatting>
  <conditionalFormatting sqref="CA6 BX6 BU6 BR6 BO6 BL6 BI6">
    <cfRule type="expression" dxfId="384" priority="493" stopIfTrue="1">
      <formula>BI$1=TODAY()+DailyScrumDateModifier</formula>
    </cfRule>
  </conditionalFormatting>
  <conditionalFormatting sqref="N6 K6 AR6 AL6 AF6 AC6 Z6 W6 Q6 T6 AI6 AO6 AX6 AU6 BG6 BD6 BA6 CB6 BY6 BV6 BS6 BP6 BM6 BJ6">
    <cfRule type="expression" dxfId="383" priority="494" stopIfTrue="1">
      <formula>J$1=TODAY()+DailyScrumDateModifier</formula>
    </cfRule>
  </conditionalFormatting>
  <conditionalFormatting sqref="A6 H6:I6 CE6 C6:D6">
    <cfRule type="expression" dxfId="382" priority="495" stopIfTrue="1">
      <formula>MOD(ROW(),2)</formula>
    </cfRule>
  </conditionalFormatting>
  <conditionalFormatting sqref="L6 O6 AP6 AM6 R6 U6 X6 AA6 AD6 AG6 AJ6 AY6 AV6 AS6 BB6 BE6 BK6 BN6 BQ6 BT6 BW6 BZ6 CC6 BH6">
    <cfRule type="cellIs" dxfId="381" priority="496" stopIfTrue="1" operator="equal">
      <formula>"Pending"</formula>
    </cfRule>
  </conditionalFormatting>
  <conditionalFormatting sqref="E6">
    <cfRule type="expression" dxfId="380" priority="492" stopIfTrue="1">
      <formula>MOD(ROW(),2)</formula>
    </cfRule>
  </conditionalFormatting>
  <conditionalFormatting sqref="B6">
    <cfRule type="expression" dxfId="379" priority="491" stopIfTrue="1">
      <formula>MOD(ROW(),2)</formula>
    </cfRule>
  </conditionalFormatting>
  <conditionalFormatting sqref="BI17 BL17 BO17 BR17 BU17 BX17 CA17">
    <cfRule type="expression" dxfId="378" priority="480" stopIfTrue="1">
      <formula>BI$1=TODAY()+DailyScrumDateModifier</formula>
    </cfRule>
  </conditionalFormatting>
  <conditionalFormatting sqref="BJ17 BM17 BP17 BS17 BV17 BY17 CB17 BA17 BD17 BG17 AU17 AX17 AO17 AI17 T17 Q17 W17 Z17 AC17 AF17 AL17 AR17 K17 N17">
    <cfRule type="expression" dxfId="377" priority="481" stopIfTrue="1">
      <formula>J$1=TODAY()+DailyScrumDateModifier</formula>
    </cfRule>
  </conditionalFormatting>
  <conditionalFormatting sqref="A17:D17 CE17 H17:I17">
    <cfRule type="expression" dxfId="376" priority="482" stopIfTrue="1">
      <formula>MOD(ROW(),2)</formula>
    </cfRule>
  </conditionalFormatting>
  <conditionalFormatting sqref="BH17 CC17 BZ17 BW17 BT17 BQ17 BN17 BK17 BE17 BB17 AS17 AV17 AY17 AJ17 AG17 AD17 AA17 X17 U17 R17 AM17 AP17 O17 L17">
    <cfRule type="cellIs" dxfId="375" priority="483" stopIfTrue="1" operator="equal">
      <formula>"Pending"</formula>
    </cfRule>
  </conditionalFormatting>
  <conditionalFormatting sqref="E17">
    <cfRule type="expression" dxfId="374" priority="479" stopIfTrue="1">
      <formula>MOD(ROW(),2)</formula>
    </cfRule>
  </conditionalFormatting>
  <conditionalFormatting sqref="M4:M19">
    <cfRule type="expression" dxfId="373" priority="477" stopIfTrue="1">
      <formula>M$1=TODAY()+DailyScrumDateModifier</formula>
    </cfRule>
  </conditionalFormatting>
  <conditionalFormatting sqref="P4:P19">
    <cfRule type="expression" dxfId="372" priority="475" stopIfTrue="1">
      <formula>P$1=TODAY()+DailyScrumDateModifier</formula>
    </cfRule>
  </conditionalFormatting>
  <conditionalFormatting sqref="S4:S19">
    <cfRule type="expression" dxfId="371" priority="473" stopIfTrue="1">
      <formula>S$1=TODAY()+DailyScrumDateModifier</formula>
    </cfRule>
  </conditionalFormatting>
  <conditionalFormatting sqref="V4:V19">
    <cfRule type="expression" dxfId="370" priority="471" stopIfTrue="1">
      <formula>V$1=TODAY()+DailyScrumDateModifier</formula>
    </cfRule>
  </conditionalFormatting>
  <conditionalFormatting sqref="Y4:Y19">
    <cfRule type="expression" dxfId="369" priority="469" stopIfTrue="1">
      <formula>Y$1=TODAY()+DailyScrumDateModifier</formula>
    </cfRule>
  </conditionalFormatting>
  <conditionalFormatting sqref="AB4:AB19">
    <cfRule type="expression" dxfId="368" priority="467" stopIfTrue="1">
      <formula>AB$1=TODAY()+DailyScrumDateModifier</formula>
    </cfRule>
  </conditionalFormatting>
  <conditionalFormatting sqref="AE4:AE19">
    <cfRule type="expression" dxfId="367" priority="465" stopIfTrue="1">
      <formula>AE$1=TODAY()+DailyScrumDateModifier</formula>
    </cfRule>
  </conditionalFormatting>
  <conditionalFormatting sqref="AH4:AH19">
    <cfRule type="expression" dxfId="366" priority="463" stopIfTrue="1">
      <formula>AH$1=TODAY()+DailyScrumDateModifier</formula>
    </cfRule>
  </conditionalFormatting>
  <conditionalFormatting sqref="AK4:AK19">
    <cfRule type="expression" dxfId="365" priority="461" stopIfTrue="1">
      <formula>AK$1=TODAY()+DailyScrumDateModifier</formula>
    </cfRule>
  </conditionalFormatting>
  <conditionalFormatting sqref="AN4:AN19">
    <cfRule type="expression" dxfId="364" priority="459" stopIfTrue="1">
      <formula>AN$1=TODAY()+DailyScrumDateModifier</formula>
    </cfRule>
  </conditionalFormatting>
  <conditionalFormatting sqref="AQ4:AQ19">
    <cfRule type="expression" dxfId="363" priority="457" stopIfTrue="1">
      <formula>AQ$1=TODAY()+DailyScrumDateModifier</formula>
    </cfRule>
  </conditionalFormatting>
  <conditionalFormatting sqref="AT4:AT19">
    <cfRule type="expression" dxfId="362" priority="455" stopIfTrue="1">
      <formula>AT$1=TODAY()+DailyScrumDateModifier</formula>
    </cfRule>
  </conditionalFormatting>
  <conditionalFormatting sqref="AW4:AW19">
    <cfRule type="expression" dxfId="361" priority="453" stopIfTrue="1">
      <formula>AW$1=TODAY()+DailyScrumDateModifier</formula>
    </cfRule>
  </conditionalFormatting>
  <conditionalFormatting sqref="AZ4:AZ19">
    <cfRule type="expression" dxfId="360" priority="451" stopIfTrue="1">
      <formula>AZ$1=TODAY()+DailyScrumDateModifier</formula>
    </cfRule>
  </conditionalFormatting>
  <conditionalFormatting sqref="BC4:BC19">
    <cfRule type="expression" dxfId="359" priority="449" stopIfTrue="1">
      <formula>BC$1=TODAY()+DailyScrumDateModifier</formula>
    </cfRule>
  </conditionalFormatting>
  <conditionalFormatting sqref="BF4:BF19">
    <cfRule type="expression" dxfId="358" priority="447" stopIfTrue="1">
      <formula>BF$1=TODAY()+DailyScrumDateModifier</formula>
    </cfRule>
  </conditionalFormatting>
  <conditionalFormatting sqref="J20 BI20 BL20 BO20 BR20 BU20 BX20 CA20">
    <cfRule type="expression" dxfId="357" priority="420" stopIfTrue="1">
      <formula>J$1=TODAY()+DailyScrumDateModifier</formula>
    </cfRule>
  </conditionalFormatting>
  <conditionalFormatting sqref="BJ20 BM20 BP20 BS20 BV20 BY20 CB20 BA20 BD20 BG20 AU20 AX20 AO20 AI20 T20 Q20 W20 Z20 AC20 AF20 AL20 AR20 K20 N20">
    <cfRule type="expression" dxfId="356" priority="421" stopIfTrue="1">
      <formula>J$1=TODAY()+DailyScrumDateModifier</formula>
    </cfRule>
  </conditionalFormatting>
  <conditionalFormatting sqref="A20:D20 CE20 H20:I20">
    <cfRule type="expression" dxfId="355" priority="422" stopIfTrue="1">
      <formula>MOD(ROW(),2)</formula>
    </cfRule>
  </conditionalFormatting>
  <conditionalFormatting sqref="BH20 CC20 BZ20 BW20 BT20 BQ20 BN20 BK20 BE20 BB20 AS20 AV20 AY20 AJ20 AG20 AD20 AA20 X20 U20 R20 AM20 AP20 O20 L20">
    <cfRule type="cellIs" dxfId="354" priority="423" stopIfTrue="1" operator="equal">
      <formula>"Pending"</formula>
    </cfRule>
  </conditionalFormatting>
  <conditionalFormatting sqref="E20">
    <cfRule type="expression" dxfId="353" priority="419" stopIfTrue="1">
      <formula>MOD(ROW(),2)</formula>
    </cfRule>
  </conditionalFormatting>
  <conditionalFormatting sqref="M20">
    <cfRule type="expression" dxfId="352" priority="418" stopIfTrue="1">
      <formula>M$1=TODAY()+DailyScrumDateModifier</formula>
    </cfRule>
    <cfRule type="expression" dxfId="351" priority="433" stopIfTrue="1">
      <formula>MOD(ROW(),2)</formula>
    </cfRule>
  </conditionalFormatting>
  <conditionalFormatting sqref="P20">
    <cfRule type="expression" dxfId="350" priority="417" stopIfTrue="1">
      <formula>P$1=TODAY()+DailyScrumDateModifier</formula>
    </cfRule>
    <cfRule type="expression" dxfId="349" priority="431" stopIfTrue="1">
      <formula>MOD(ROW(),2)</formula>
    </cfRule>
  </conditionalFormatting>
  <conditionalFormatting sqref="S20">
    <cfRule type="expression" dxfId="348" priority="416" stopIfTrue="1">
      <formula>S$1=TODAY()+DailyScrumDateModifier</formula>
    </cfRule>
    <cfRule type="expression" dxfId="347" priority="429" stopIfTrue="1">
      <formula>MOD(ROW(),2)</formula>
    </cfRule>
  </conditionalFormatting>
  <conditionalFormatting sqref="V20">
    <cfRule type="expression" dxfId="346" priority="415" stopIfTrue="1">
      <formula>V$1=TODAY()+DailyScrumDateModifier</formula>
    </cfRule>
    <cfRule type="expression" dxfId="345" priority="427" stopIfTrue="1">
      <formula>MOD(ROW(),2)</formula>
    </cfRule>
  </conditionalFormatting>
  <conditionalFormatting sqref="Y20">
    <cfRule type="expression" dxfId="344" priority="414" stopIfTrue="1">
      <formula>Y$1=TODAY()+DailyScrumDateModifier</formula>
    </cfRule>
    <cfRule type="expression" dxfId="343" priority="425" stopIfTrue="1">
      <formula>MOD(ROW(),2)</formula>
    </cfRule>
  </conditionalFormatting>
  <conditionalFormatting sqref="AB20">
    <cfRule type="expression" dxfId="342" priority="413" stopIfTrue="1">
      <formula>AB$1=TODAY()+DailyScrumDateModifier</formula>
    </cfRule>
    <cfRule type="expression" dxfId="341" priority="528" stopIfTrue="1">
      <formula>MOD(ROW(),2)</formula>
    </cfRule>
  </conditionalFormatting>
  <conditionalFormatting sqref="AE20">
    <cfRule type="expression" dxfId="340" priority="412" stopIfTrue="1">
      <formula>AE$1=TODAY()+DailyScrumDateModifier</formula>
    </cfRule>
    <cfRule type="expression" dxfId="339" priority="529" stopIfTrue="1">
      <formula>MOD(ROW(),2)</formula>
    </cfRule>
  </conditionalFormatting>
  <conditionalFormatting sqref="AH20">
    <cfRule type="expression" dxfId="338" priority="411" stopIfTrue="1">
      <formula>AH$1=TODAY()+DailyScrumDateModifier</formula>
    </cfRule>
    <cfRule type="expression" dxfId="337" priority="530" stopIfTrue="1">
      <formula>MOD(ROW(),2)</formula>
    </cfRule>
  </conditionalFormatting>
  <conditionalFormatting sqref="AK20">
    <cfRule type="expression" dxfId="336" priority="410" stopIfTrue="1">
      <formula>AK$1=TODAY()+DailyScrumDateModifier</formula>
    </cfRule>
    <cfRule type="expression" dxfId="335" priority="531" stopIfTrue="1">
      <formula>MOD(ROW(),2)</formula>
    </cfRule>
  </conditionalFormatting>
  <conditionalFormatting sqref="AN20">
    <cfRule type="expression" dxfId="334" priority="409" stopIfTrue="1">
      <formula>AN$1=TODAY()+DailyScrumDateModifier</formula>
    </cfRule>
    <cfRule type="expression" dxfId="333" priority="532" stopIfTrue="1">
      <formula>MOD(ROW(),2)</formula>
    </cfRule>
  </conditionalFormatting>
  <conditionalFormatting sqref="AQ20">
    <cfRule type="expression" dxfId="332" priority="408" stopIfTrue="1">
      <formula>AQ$1=TODAY()+DailyScrumDateModifier</formula>
    </cfRule>
    <cfRule type="expression" dxfId="331" priority="533" stopIfTrue="1">
      <formula>MOD(ROW(),2)</formula>
    </cfRule>
  </conditionalFormatting>
  <conditionalFormatting sqref="AT20">
    <cfRule type="expression" dxfId="330" priority="407" stopIfTrue="1">
      <formula>AT$1=TODAY()+DailyScrumDateModifier</formula>
    </cfRule>
    <cfRule type="expression" dxfId="329" priority="534" stopIfTrue="1">
      <formula>MOD(ROW(),2)</formula>
    </cfRule>
  </conditionalFormatting>
  <conditionalFormatting sqref="AW20">
    <cfRule type="expression" dxfId="328" priority="406" stopIfTrue="1">
      <formula>AW$1=TODAY()+DailyScrumDateModifier</formula>
    </cfRule>
    <cfRule type="expression" dxfId="327" priority="535" stopIfTrue="1">
      <formula>MOD(ROW(),2)</formula>
    </cfRule>
  </conditionalFormatting>
  <conditionalFormatting sqref="AZ20">
    <cfRule type="expression" dxfId="326" priority="405" stopIfTrue="1">
      <formula>AZ$1=TODAY()+DailyScrumDateModifier</formula>
    </cfRule>
    <cfRule type="expression" dxfId="325" priority="536" stopIfTrue="1">
      <formula>MOD(ROW(),2)</formula>
    </cfRule>
  </conditionalFormatting>
  <conditionalFormatting sqref="BC20">
    <cfRule type="expression" dxfId="324" priority="404" stopIfTrue="1">
      <formula>BC$1=TODAY()+DailyScrumDateModifier</formula>
    </cfRule>
    <cfRule type="expression" dxfId="323" priority="537" stopIfTrue="1">
      <formula>MOD(ROW(),2)</formula>
    </cfRule>
  </conditionalFormatting>
  <conditionalFormatting sqref="BF20">
    <cfRule type="expression" dxfId="322" priority="403" stopIfTrue="1">
      <formula>MOD(ROW(),2)</formula>
    </cfRule>
    <cfRule type="expression" dxfId="321" priority="403" stopIfTrue="1">
      <formula>BF$1=TODAY()+DailyScrumDateModifier</formula>
    </cfRule>
  </conditionalFormatting>
  <conditionalFormatting sqref="J21 BI21 BL21 BO21 BR21 BU21 BX21 CA21">
    <cfRule type="expression" dxfId="320" priority="376" stopIfTrue="1">
      <formula>J$1=TODAY()+DailyScrumDateModifier</formula>
    </cfRule>
  </conditionalFormatting>
  <conditionalFormatting sqref="BJ21 BM21 BP21 BS21 BV21 BY21 CB21 BA21 BD21 BG21 AU21 AX21 AO21 AI21 T21 Q21 W21 Z21 AC21 AF21 AL21 AR21 K21 N21">
    <cfRule type="expression" dxfId="319" priority="377" stopIfTrue="1">
      <formula>J$1=TODAY()+DailyScrumDateModifier</formula>
    </cfRule>
  </conditionalFormatting>
  <conditionalFormatting sqref="A21:D21 CE21 H21:I21">
    <cfRule type="expression" dxfId="318" priority="378" stopIfTrue="1">
      <formula>MOD(ROW(),2)</formula>
    </cfRule>
  </conditionalFormatting>
  <conditionalFormatting sqref="BH21 CC21 BZ21 BW21 BT21 BQ21 BN21 BK21 BE21 BB21 AS21 AV21 AY21 AJ21 AG21 AD21 AA21 X21 U21 R21 AM21 AP21 O21 L21">
    <cfRule type="cellIs" dxfId="317" priority="379" stopIfTrue="1" operator="equal">
      <formula>"Pending"</formula>
    </cfRule>
  </conditionalFormatting>
  <conditionalFormatting sqref="E21">
    <cfRule type="expression" dxfId="316" priority="375" stopIfTrue="1">
      <formula>MOD(ROW(),2)</formula>
    </cfRule>
  </conditionalFormatting>
  <conditionalFormatting sqref="M21">
    <cfRule type="expression" dxfId="315" priority="374" stopIfTrue="1">
      <formula>M$1=TODAY()+DailyScrumDateModifier</formula>
    </cfRule>
    <cfRule type="expression" dxfId="314" priority="389" stopIfTrue="1">
      <formula>MOD(ROW(),2)</formula>
    </cfRule>
  </conditionalFormatting>
  <conditionalFormatting sqref="P21">
    <cfRule type="expression" dxfId="313" priority="373" stopIfTrue="1">
      <formula>P$1=TODAY()+DailyScrumDateModifier</formula>
    </cfRule>
    <cfRule type="expression" dxfId="312" priority="387" stopIfTrue="1">
      <formula>MOD(ROW(),2)</formula>
    </cfRule>
  </conditionalFormatting>
  <conditionalFormatting sqref="S21">
    <cfRule type="expression" dxfId="311" priority="372" stopIfTrue="1">
      <formula>S$1=TODAY()+DailyScrumDateModifier</formula>
    </cfRule>
    <cfRule type="expression" dxfId="310" priority="385" stopIfTrue="1">
      <formula>MOD(ROW(),2)</formula>
    </cfRule>
  </conditionalFormatting>
  <conditionalFormatting sqref="V21">
    <cfRule type="expression" dxfId="309" priority="371" stopIfTrue="1">
      <formula>V$1=TODAY()+DailyScrumDateModifier</formula>
    </cfRule>
    <cfRule type="expression" dxfId="308" priority="383" stopIfTrue="1">
      <formula>MOD(ROW(),2)</formula>
    </cfRule>
  </conditionalFormatting>
  <conditionalFormatting sqref="Y21">
    <cfRule type="expression" dxfId="307" priority="370" stopIfTrue="1">
      <formula>Y$1=TODAY()+DailyScrumDateModifier</formula>
    </cfRule>
    <cfRule type="expression" dxfId="306" priority="381" stopIfTrue="1">
      <formula>MOD(ROW(),2)</formula>
    </cfRule>
  </conditionalFormatting>
  <conditionalFormatting sqref="AB21">
    <cfRule type="expression" dxfId="305" priority="369" stopIfTrue="1">
      <formula>AB$1=TODAY()+DailyScrumDateModifier</formula>
    </cfRule>
    <cfRule type="expression" dxfId="304" priority="538" stopIfTrue="1">
      <formula>MOD(ROW(),2)</formula>
    </cfRule>
  </conditionalFormatting>
  <conditionalFormatting sqref="AE21">
    <cfRule type="expression" dxfId="303" priority="368" stopIfTrue="1">
      <formula>AE$1=TODAY()+DailyScrumDateModifier</formula>
    </cfRule>
    <cfRule type="expression" dxfId="302" priority="539" stopIfTrue="1">
      <formula>MOD(ROW(),2)</formula>
    </cfRule>
  </conditionalFormatting>
  <conditionalFormatting sqref="AH21">
    <cfRule type="expression" dxfId="301" priority="367" stopIfTrue="1">
      <formula>AH$1=TODAY()+DailyScrumDateModifier</formula>
    </cfRule>
    <cfRule type="expression" dxfId="300" priority="540" stopIfTrue="1">
      <formula>MOD(ROW(),2)</formula>
    </cfRule>
  </conditionalFormatting>
  <conditionalFormatting sqref="AK21">
    <cfRule type="expression" dxfId="299" priority="366" stopIfTrue="1">
      <formula>AK$1=TODAY()+DailyScrumDateModifier</formula>
    </cfRule>
    <cfRule type="expression" dxfId="298" priority="541" stopIfTrue="1">
      <formula>MOD(ROW(),2)</formula>
    </cfRule>
  </conditionalFormatting>
  <conditionalFormatting sqref="AN21">
    <cfRule type="expression" dxfId="297" priority="365" stopIfTrue="1">
      <formula>AN$1=TODAY()+DailyScrumDateModifier</formula>
    </cfRule>
    <cfRule type="expression" dxfId="296" priority="542" stopIfTrue="1">
      <formula>MOD(ROW(),2)</formula>
    </cfRule>
  </conditionalFormatting>
  <conditionalFormatting sqref="AQ21">
    <cfRule type="expression" dxfId="295" priority="364" stopIfTrue="1">
      <formula>AQ$1=TODAY()+DailyScrumDateModifier</formula>
    </cfRule>
    <cfRule type="expression" dxfId="294" priority="543" stopIfTrue="1">
      <formula>MOD(ROW(),2)</formula>
    </cfRule>
  </conditionalFormatting>
  <conditionalFormatting sqref="AT21">
    <cfRule type="expression" dxfId="293" priority="363" stopIfTrue="1">
      <formula>AT$1=TODAY()+DailyScrumDateModifier</formula>
    </cfRule>
    <cfRule type="expression" dxfId="292" priority="544" stopIfTrue="1">
      <formula>MOD(ROW(),2)</formula>
    </cfRule>
  </conditionalFormatting>
  <conditionalFormatting sqref="AW21">
    <cfRule type="expression" dxfId="291" priority="362" stopIfTrue="1">
      <formula>AW$1=TODAY()+DailyScrumDateModifier</formula>
    </cfRule>
    <cfRule type="expression" dxfId="290" priority="545" stopIfTrue="1">
      <formula>MOD(ROW(),2)</formula>
    </cfRule>
  </conditionalFormatting>
  <conditionalFormatting sqref="AZ21">
    <cfRule type="expression" dxfId="289" priority="361" stopIfTrue="1">
      <formula>AZ$1=TODAY()+DailyScrumDateModifier</formula>
    </cfRule>
    <cfRule type="expression" dxfId="288" priority="546" stopIfTrue="1">
      <formula>MOD(ROW(),2)</formula>
    </cfRule>
  </conditionalFormatting>
  <conditionalFormatting sqref="BC21">
    <cfRule type="expression" dxfId="287" priority="360" stopIfTrue="1">
      <formula>BC$1=TODAY()+DailyScrumDateModifier</formula>
    </cfRule>
    <cfRule type="expression" dxfId="286" priority="547" stopIfTrue="1">
      <formula>MOD(ROW(),2)</formula>
    </cfRule>
  </conditionalFormatting>
  <conditionalFormatting sqref="BF21">
    <cfRule type="expression" dxfId="285" priority="359" stopIfTrue="1">
      <formula>MOD(ROW(),2)</formula>
    </cfRule>
    <cfRule type="expression" dxfId="284" priority="359" stopIfTrue="1">
      <formula>BF$1=TODAY()+DailyScrumDateModifier</formula>
    </cfRule>
  </conditionalFormatting>
  <conditionalFormatting sqref="J22 BI22 BL22 BO22 BR22 BU22 BX22 CA22">
    <cfRule type="expression" dxfId="283" priority="332" stopIfTrue="1">
      <formula>J$1=TODAY()+DailyScrumDateModifier</formula>
    </cfRule>
  </conditionalFormatting>
  <conditionalFormatting sqref="BJ22 BM22 BP22 BS22 BV22 BY22 CB22 BA22 BD22 BG22 AU22 AX22 AO22 AI22 T22 Q22 W22 Z22 AC22 AF22 AL22 AR22 K22 N22">
    <cfRule type="expression" dxfId="282" priority="333" stopIfTrue="1">
      <formula>J$1=TODAY()+DailyScrumDateModifier</formula>
    </cfRule>
  </conditionalFormatting>
  <conditionalFormatting sqref="A22 CE22 H22:I22 C22:D22">
    <cfRule type="expression" dxfId="281" priority="334" stopIfTrue="1">
      <formula>MOD(ROW(),2)</formula>
    </cfRule>
  </conditionalFormatting>
  <conditionalFormatting sqref="BH22 CC22 BZ22 BW22 BT22 BQ22 BN22 BK22 BE22 BB22 AS22 AV22 AY22 AJ22 AG22 AD22 AA22 X22 U22 R22 AM22 AP22 O22 L22">
    <cfRule type="cellIs" dxfId="280" priority="335" stopIfTrue="1" operator="equal">
      <formula>"Pending"</formula>
    </cfRule>
  </conditionalFormatting>
  <conditionalFormatting sqref="E26">
    <cfRule type="expression" dxfId="279" priority="154" stopIfTrue="1">
      <formula>MOD(ROW(),2)</formula>
    </cfRule>
  </conditionalFormatting>
  <conditionalFormatting sqref="M22">
    <cfRule type="expression" dxfId="278" priority="330" stopIfTrue="1">
      <formula>M$1=TODAY()+DailyScrumDateModifier</formula>
    </cfRule>
    <cfRule type="expression" dxfId="277" priority="345" stopIfTrue="1">
      <formula>MOD(ROW(),2)</formula>
    </cfRule>
  </conditionalFormatting>
  <conditionalFormatting sqref="P22">
    <cfRule type="expression" dxfId="276" priority="329" stopIfTrue="1">
      <formula>P$1=TODAY()+DailyScrumDateModifier</formula>
    </cfRule>
    <cfRule type="expression" dxfId="275" priority="343" stopIfTrue="1">
      <formula>MOD(ROW(),2)</formula>
    </cfRule>
  </conditionalFormatting>
  <conditionalFormatting sqref="S22">
    <cfRule type="expression" dxfId="274" priority="328" stopIfTrue="1">
      <formula>S$1=TODAY()+DailyScrumDateModifier</formula>
    </cfRule>
    <cfRule type="expression" dxfId="273" priority="341" stopIfTrue="1">
      <formula>MOD(ROW(),2)</formula>
    </cfRule>
  </conditionalFormatting>
  <conditionalFormatting sqref="V22">
    <cfRule type="expression" dxfId="272" priority="327" stopIfTrue="1">
      <formula>V$1=TODAY()+DailyScrumDateModifier</formula>
    </cfRule>
    <cfRule type="expression" dxfId="271" priority="339" stopIfTrue="1">
      <formula>MOD(ROW(),2)</formula>
    </cfRule>
  </conditionalFormatting>
  <conditionalFormatting sqref="Y22">
    <cfRule type="expression" dxfId="270" priority="326" stopIfTrue="1">
      <formula>Y$1=TODAY()+DailyScrumDateModifier</formula>
    </cfRule>
    <cfRule type="expression" dxfId="269" priority="337" stopIfTrue="1">
      <formula>MOD(ROW(),2)</formula>
    </cfRule>
  </conditionalFormatting>
  <conditionalFormatting sqref="AB22">
    <cfRule type="expression" dxfId="268" priority="325" stopIfTrue="1">
      <formula>AB$1=TODAY()+DailyScrumDateModifier</formula>
    </cfRule>
    <cfRule type="expression" dxfId="267" priority="548" stopIfTrue="1">
      <formula>MOD(ROW(),2)</formula>
    </cfRule>
  </conditionalFormatting>
  <conditionalFormatting sqref="AE22">
    <cfRule type="expression" dxfId="266" priority="324" stopIfTrue="1">
      <formula>AE$1=TODAY()+DailyScrumDateModifier</formula>
    </cfRule>
    <cfRule type="expression" dxfId="265" priority="549" stopIfTrue="1">
      <formula>MOD(ROW(),2)</formula>
    </cfRule>
  </conditionalFormatting>
  <conditionalFormatting sqref="AH22">
    <cfRule type="expression" dxfId="264" priority="323" stopIfTrue="1">
      <formula>AH$1=TODAY()+DailyScrumDateModifier</formula>
    </cfRule>
    <cfRule type="expression" dxfId="263" priority="331" stopIfTrue="1">
      <formula>MOD(ROW(),2)</formula>
    </cfRule>
  </conditionalFormatting>
  <conditionalFormatting sqref="AK22">
    <cfRule type="expression" dxfId="262" priority="322" stopIfTrue="1">
      <formula>AK$1=TODAY()+DailyScrumDateModifier</formula>
    </cfRule>
    <cfRule type="expression" dxfId="261" priority="550" stopIfTrue="1">
      <formula>MOD(ROW(),2)</formula>
    </cfRule>
  </conditionalFormatting>
  <conditionalFormatting sqref="AN22">
    <cfRule type="expression" dxfId="260" priority="321" stopIfTrue="1">
      <formula>AN$1=TODAY()+DailyScrumDateModifier</formula>
    </cfRule>
    <cfRule type="expression" dxfId="259" priority="551" stopIfTrue="1">
      <formula>MOD(ROW(),2)</formula>
    </cfRule>
  </conditionalFormatting>
  <conditionalFormatting sqref="AQ22">
    <cfRule type="expression" dxfId="258" priority="320" stopIfTrue="1">
      <formula>AQ$1=TODAY()+DailyScrumDateModifier</formula>
    </cfRule>
    <cfRule type="expression" dxfId="257" priority="552" stopIfTrue="1">
      <formula>MOD(ROW(),2)</formula>
    </cfRule>
  </conditionalFormatting>
  <conditionalFormatting sqref="AT22">
    <cfRule type="expression" dxfId="256" priority="319" stopIfTrue="1">
      <formula>AT$1=TODAY()+DailyScrumDateModifier</formula>
    </cfRule>
    <cfRule type="expression" dxfId="255" priority="553" stopIfTrue="1">
      <formula>MOD(ROW(),2)</formula>
    </cfRule>
  </conditionalFormatting>
  <conditionalFormatting sqref="AW22">
    <cfRule type="expression" dxfId="254" priority="318" stopIfTrue="1">
      <formula>AW$1=TODAY()+DailyScrumDateModifier</formula>
    </cfRule>
    <cfRule type="expression" dxfId="253" priority="554" stopIfTrue="1">
      <formula>MOD(ROW(),2)</formula>
    </cfRule>
  </conditionalFormatting>
  <conditionalFormatting sqref="AZ22">
    <cfRule type="expression" dxfId="252" priority="317" stopIfTrue="1">
      <formula>AZ$1=TODAY()+DailyScrumDateModifier</formula>
    </cfRule>
    <cfRule type="expression" dxfId="251" priority="555" stopIfTrue="1">
      <formula>MOD(ROW(),2)</formula>
    </cfRule>
  </conditionalFormatting>
  <conditionalFormatting sqref="BC22">
    <cfRule type="expression" dxfId="250" priority="316" stopIfTrue="1">
      <formula>BC$1=TODAY()+DailyScrumDateModifier</formula>
    </cfRule>
    <cfRule type="expression" dxfId="249" priority="556" stopIfTrue="1">
      <formula>MOD(ROW(),2)</formula>
    </cfRule>
  </conditionalFormatting>
  <conditionalFormatting sqref="BF22">
    <cfRule type="expression" dxfId="248" priority="315" stopIfTrue="1">
      <formula>MOD(ROW(),2)</formula>
    </cfRule>
    <cfRule type="expression" dxfId="247" priority="315" stopIfTrue="1">
      <formula>BF$1=TODAY()+DailyScrumDateModifier</formula>
    </cfRule>
  </conditionalFormatting>
  <conditionalFormatting sqref="J23 BI23 BL23 BO23 BR23 BU23 BX23 CA23">
    <cfRule type="expression" dxfId="246" priority="288" stopIfTrue="1">
      <formula>J$1=TODAY()+DailyScrumDateModifier</formula>
    </cfRule>
  </conditionalFormatting>
  <conditionalFormatting sqref="BJ23 BM23 BP23 BS23 BV23 BY23 CB23 BA23 BD23 BG23 AU23 AX23 AO23 AI23 T23 Q23 W23 Z23 AC23 AF23 AL23 AR23 K23 N23">
    <cfRule type="expression" dxfId="245" priority="289" stopIfTrue="1">
      <formula>J$1=TODAY()+DailyScrumDateModifier</formula>
    </cfRule>
  </conditionalFormatting>
  <conditionalFormatting sqref="A23 CE23 H23:I23 C23:D23">
    <cfRule type="expression" dxfId="244" priority="290" stopIfTrue="1">
      <formula>MOD(ROW(),2)</formula>
    </cfRule>
  </conditionalFormatting>
  <conditionalFormatting sqref="BH23 CC23 BZ23 BW23 BT23 BQ23 BN23 BK23 BE23 BB23 AS23 AV23 AY23 AJ23 AG23 AD23 AA23 X23 U23 R23 AM23 AP23 O23 L23">
    <cfRule type="cellIs" dxfId="243" priority="291" stopIfTrue="1" operator="equal">
      <formula>"Pending"</formula>
    </cfRule>
  </conditionalFormatting>
  <conditionalFormatting sqref="E23">
    <cfRule type="expression" dxfId="242" priority="287" stopIfTrue="1">
      <formula>MOD(ROW(),2)</formula>
    </cfRule>
  </conditionalFormatting>
  <conditionalFormatting sqref="M23">
    <cfRule type="expression" dxfId="241" priority="286" stopIfTrue="1">
      <formula>M$1=TODAY()+DailyScrumDateModifier</formula>
    </cfRule>
    <cfRule type="expression" dxfId="240" priority="301" stopIfTrue="1">
      <formula>MOD(ROW(),2)</formula>
    </cfRule>
  </conditionalFormatting>
  <conditionalFormatting sqref="P23">
    <cfRule type="expression" dxfId="239" priority="285" stopIfTrue="1">
      <formula>P$1=TODAY()+DailyScrumDateModifier</formula>
    </cfRule>
    <cfRule type="expression" dxfId="238" priority="299" stopIfTrue="1">
      <formula>MOD(ROW(),2)</formula>
    </cfRule>
  </conditionalFormatting>
  <conditionalFormatting sqref="S23">
    <cfRule type="expression" dxfId="237" priority="284" stopIfTrue="1">
      <formula>S$1=TODAY()+DailyScrumDateModifier</formula>
    </cfRule>
    <cfRule type="expression" dxfId="236" priority="297" stopIfTrue="1">
      <formula>MOD(ROW(),2)</formula>
    </cfRule>
  </conditionalFormatting>
  <conditionalFormatting sqref="V23">
    <cfRule type="expression" dxfId="235" priority="283" stopIfTrue="1">
      <formula>V$1=TODAY()+DailyScrumDateModifier</formula>
    </cfRule>
    <cfRule type="expression" dxfId="234" priority="295" stopIfTrue="1">
      <formula>MOD(ROW(),2)</formula>
    </cfRule>
  </conditionalFormatting>
  <conditionalFormatting sqref="Y23">
    <cfRule type="expression" dxfId="233" priority="282" stopIfTrue="1">
      <formula>Y$1=TODAY()+DailyScrumDateModifier</formula>
    </cfRule>
    <cfRule type="expression" dxfId="232" priority="293" stopIfTrue="1">
      <formula>MOD(ROW(),2)</formula>
    </cfRule>
  </conditionalFormatting>
  <conditionalFormatting sqref="AB23">
    <cfRule type="expression" dxfId="231" priority="281" stopIfTrue="1">
      <formula>AB$1=TODAY()+DailyScrumDateModifier</formula>
    </cfRule>
    <cfRule type="expression" dxfId="230" priority="557" stopIfTrue="1">
      <formula>MOD(ROW(),2)</formula>
    </cfRule>
  </conditionalFormatting>
  <conditionalFormatting sqref="AE23">
    <cfRule type="expression" dxfId="229" priority="280" stopIfTrue="1">
      <formula>AE$1=TODAY()+DailyScrumDateModifier</formula>
    </cfRule>
    <cfRule type="expression" dxfId="228" priority="558" stopIfTrue="1">
      <formula>MOD(ROW(),2)</formula>
    </cfRule>
  </conditionalFormatting>
  <conditionalFormatting sqref="AH23">
    <cfRule type="expression" dxfId="227" priority="279" stopIfTrue="1">
      <formula>AH$1=TODAY()+DailyScrumDateModifier</formula>
    </cfRule>
    <cfRule type="expression" dxfId="226" priority="559" stopIfTrue="1">
      <formula>MOD(ROW(),2)</formula>
    </cfRule>
  </conditionalFormatting>
  <conditionalFormatting sqref="AK23">
    <cfRule type="expression" dxfId="225" priority="278" stopIfTrue="1">
      <formula>AK$1=TODAY()+DailyScrumDateModifier</formula>
    </cfRule>
    <cfRule type="expression" dxfId="224" priority="560" stopIfTrue="1">
      <formula>MOD(ROW(),2)</formula>
    </cfRule>
  </conditionalFormatting>
  <conditionalFormatting sqref="AN23">
    <cfRule type="expression" dxfId="223" priority="277" stopIfTrue="1">
      <formula>AN$1=TODAY()+DailyScrumDateModifier</formula>
    </cfRule>
    <cfRule type="expression" dxfId="222" priority="561" stopIfTrue="1">
      <formula>MOD(ROW(),2)</formula>
    </cfRule>
  </conditionalFormatting>
  <conditionalFormatting sqref="AQ23">
    <cfRule type="expression" dxfId="221" priority="276" stopIfTrue="1">
      <formula>AQ$1=TODAY()+DailyScrumDateModifier</formula>
    </cfRule>
    <cfRule type="expression" dxfId="220" priority="562" stopIfTrue="1">
      <formula>MOD(ROW(),2)</formula>
    </cfRule>
  </conditionalFormatting>
  <conditionalFormatting sqref="AT23">
    <cfRule type="expression" dxfId="219" priority="275" stopIfTrue="1">
      <formula>AT$1=TODAY()+DailyScrumDateModifier</formula>
    </cfRule>
    <cfRule type="expression" dxfId="218" priority="563" stopIfTrue="1">
      <formula>MOD(ROW(),2)</formula>
    </cfRule>
  </conditionalFormatting>
  <conditionalFormatting sqref="AW23">
    <cfRule type="expression" dxfId="217" priority="274" stopIfTrue="1">
      <formula>AW$1=TODAY()+DailyScrumDateModifier</formula>
    </cfRule>
    <cfRule type="expression" dxfId="216" priority="564" stopIfTrue="1">
      <formula>MOD(ROW(),2)</formula>
    </cfRule>
  </conditionalFormatting>
  <conditionalFormatting sqref="AZ23">
    <cfRule type="expression" dxfId="215" priority="273" stopIfTrue="1">
      <formula>AZ$1=TODAY()+DailyScrumDateModifier</formula>
    </cfRule>
    <cfRule type="expression" dxfId="214" priority="565" stopIfTrue="1">
      <formula>MOD(ROW(),2)</formula>
    </cfRule>
  </conditionalFormatting>
  <conditionalFormatting sqref="BC23">
    <cfRule type="expression" dxfId="213" priority="272" stopIfTrue="1">
      <formula>BC$1=TODAY()+DailyScrumDateModifier</formula>
    </cfRule>
    <cfRule type="expression" dxfId="212" priority="566" stopIfTrue="1">
      <formula>MOD(ROW(),2)</formula>
    </cfRule>
  </conditionalFormatting>
  <conditionalFormatting sqref="BF23">
    <cfRule type="expression" dxfId="211" priority="271" stopIfTrue="1">
      <formula>MOD(ROW(),2)</formula>
    </cfRule>
    <cfRule type="expression" dxfId="210" priority="271" stopIfTrue="1">
      <formula>BF$1=TODAY()+DailyScrumDateModifier</formula>
    </cfRule>
  </conditionalFormatting>
  <conditionalFormatting sqref="J25 BI25 BL25 BO25 BR25 BU25 BX25 CA25">
    <cfRule type="expression" dxfId="209" priority="244" stopIfTrue="1">
      <formula>J$1=TODAY()+DailyScrumDateModifier</formula>
    </cfRule>
    <cfRule type="expression" dxfId="208" priority="269" stopIfTrue="1">
      <formula>MOD(ROW(),2)</formula>
    </cfRule>
  </conditionalFormatting>
  <conditionalFormatting sqref="BJ25 BM25 BP25 BS25 BV25 BY25 CB25 BA25 BD25 BG25 AU25 AX25 AO25 AI25 T25 Q25 W25 Z25 AC25 AF25 AL25 AR25 K25 N25">
    <cfRule type="expression" dxfId="207" priority="245" stopIfTrue="1">
      <formula>J$1=TODAY()+DailyScrumDateModifier</formula>
    </cfRule>
    <cfRule type="expression" dxfId="206" priority="267" stopIfTrue="1">
      <formula>MOD(ROW(),2)</formula>
    </cfRule>
  </conditionalFormatting>
  <conditionalFormatting sqref="A25 CE25 H25:I25 C25:D25">
    <cfRule type="expression" dxfId="205" priority="246" stopIfTrue="1">
      <formula>MOD(ROW(),2)</formula>
    </cfRule>
  </conditionalFormatting>
  <conditionalFormatting sqref="BH25 CC25 BZ25 BW25 BT25 BQ25 BN25 BK25 BE25 BB25 AS25 AV25 AY25 AJ25 AG25 AD25 AA25 X25 U25 R25 AM25 AP25 O25 L25">
    <cfRule type="cellIs" dxfId="204" priority="247" stopIfTrue="1" operator="equal">
      <formula>"Pending"</formula>
    </cfRule>
    <cfRule type="cellIs" dxfId="203" priority="263" stopIfTrue="1" operator="equal">
      <formula>"In Progress"</formula>
    </cfRule>
    <cfRule type="cellIs" dxfId="202" priority="264" stopIfTrue="1" operator="equal">
      <formula>"Complete"</formula>
    </cfRule>
  </conditionalFormatting>
  <conditionalFormatting sqref="E25">
    <cfRule type="expression" dxfId="201" priority="243" stopIfTrue="1">
      <formula>MOD(ROW(),2)</formula>
    </cfRule>
  </conditionalFormatting>
  <conditionalFormatting sqref="M25">
    <cfRule type="expression" dxfId="200" priority="242" stopIfTrue="1">
      <formula>M$1=TODAY()+DailyScrumDateModifier</formula>
    </cfRule>
    <cfRule type="expression" dxfId="199" priority="253" stopIfTrue="1">
      <formula>MOD(ROW(),2)</formula>
    </cfRule>
  </conditionalFormatting>
  <conditionalFormatting sqref="P25">
    <cfRule type="expression" dxfId="198" priority="241" stopIfTrue="1">
      <formula>P$1=TODAY()+DailyScrumDateModifier</formula>
    </cfRule>
    <cfRule type="expression" dxfId="197" priority="252" stopIfTrue="1">
      <formula>MOD(ROW(),2)</formula>
    </cfRule>
  </conditionalFormatting>
  <conditionalFormatting sqref="S25">
    <cfRule type="expression" dxfId="196" priority="240" stopIfTrue="1">
      <formula>S$1=TODAY()+DailyScrumDateModifier</formula>
    </cfRule>
    <cfRule type="expression" dxfId="195" priority="251" stopIfTrue="1">
      <formula>MOD(ROW(),2)</formula>
    </cfRule>
  </conditionalFormatting>
  <conditionalFormatting sqref="V25">
    <cfRule type="expression" dxfId="194" priority="239" stopIfTrue="1">
      <formula>V$1=TODAY()+DailyScrumDateModifier</formula>
    </cfRule>
    <cfRule type="expression" dxfId="193" priority="250" stopIfTrue="1">
      <formula>MOD(ROW(),2)</formula>
    </cfRule>
  </conditionalFormatting>
  <conditionalFormatting sqref="Y25">
    <cfRule type="expression" dxfId="192" priority="238" stopIfTrue="1">
      <formula>Y$1=TODAY()+DailyScrumDateModifier</formula>
    </cfRule>
    <cfRule type="expression" dxfId="191" priority="249" stopIfTrue="1">
      <formula>MOD(ROW(),2)</formula>
    </cfRule>
  </conditionalFormatting>
  <conditionalFormatting sqref="AB25">
    <cfRule type="expression" dxfId="190" priority="237" stopIfTrue="1">
      <formula>AB$1=TODAY()+DailyScrumDateModifier</formula>
    </cfRule>
  </conditionalFormatting>
  <conditionalFormatting sqref="AE25">
    <cfRule type="expression" dxfId="189" priority="236" stopIfTrue="1">
      <formula>AE$1=TODAY()+DailyScrumDateModifier</formula>
    </cfRule>
  </conditionalFormatting>
  <conditionalFormatting sqref="AH25">
    <cfRule type="expression" dxfId="188" priority="235" stopIfTrue="1">
      <formula>AH$1=TODAY()+DailyScrumDateModifier</formula>
    </cfRule>
  </conditionalFormatting>
  <conditionalFormatting sqref="AK25">
    <cfRule type="expression" dxfId="187" priority="234" stopIfTrue="1">
      <formula>AK$1=TODAY()+DailyScrumDateModifier</formula>
    </cfRule>
  </conditionalFormatting>
  <conditionalFormatting sqref="AN25">
    <cfRule type="expression" dxfId="186" priority="233" stopIfTrue="1">
      <formula>AN$1=TODAY()+DailyScrumDateModifier</formula>
    </cfRule>
  </conditionalFormatting>
  <conditionalFormatting sqref="AQ25">
    <cfRule type="expression" dxfId="185" priority="232" stopIfTrue="1">
      <formula>AQ$1=TODAY()+DailyScrumDateModifier</formula>
    </cfRule>
  </conditionalFormatting>
  <conditionalFormatting sqref="AT25">
    <cfRule type="expression" dxfId="184" priority="231" stopIfTrue="1">
      <formula>AT$1=TODAY()+DailyScrumDateModifier</formula>
    </cfRule>
  </conditionalFormatting>
  <conditionalFormatting sqref="AW25">
    <cfRule type="expression" dxfId="183" priority="230" stopIfTrue="1">
      <formula>AW$1=TODAY()+DailyScrumDateModifier</formula>
    </cfRule>
  </conditionalFormatting>
  <conditionalFormatting sqref="AZ25">
    <cfRule type="expression" dxfId="182" priority="229" stopIfTrue="1">
      <formula>AZ$1=TODAY()+DailyScrumDateModifier</formula>
    </cfRule>
  </conditionalFormatting>
  <conditionalFormatting sqref="BC25">
    <cfRule type="expression" dxfId="181" priority="228" stopIfTrue="1">
      <formula>BC$1=TODAY()+DailyScrumDateModifier</formula>
    </cfRule>
  </conditionalFormatting>
  <conditionalFormatting sqref="BF25">
    <cfRule type="expression" dxfId="180" priority="227" stopIfTrue="1">
      <formula>MOD(ROW(),2)</formula>
    </cfRule>
  </conditionalFormatting>
  <conditionalFormatting sqref="J24 BI24 BL24 BO24 BR24 BU24 BX24 CA24">
    <cfRule type="expression" dxfId="179" priority="200" stopIfTrue="1">
      <formula>J$1=TODAY()+DailyScrumDateModifier</formula>
    </cfRule>
    <cfRule type="expression" dxfId="178" priority="215" stopIfTrue="1">
      <formula>MOD(ROW(),2)</formula>
    </cfRule>
  </conditionalFormatting>
  <conditionalFormatting sqref="BJ24 BM24 BP24 BS24 BV24 BY24 CB24 BA24 BD24 BG24 AU24 AX24 AO24 AI24 T24 Q24 W24 Z24 AC24 AF24 AL24 AR24 K24 N24">
    <cfRule type="expression" dxfId="177" priority="201" stopIfTrue="1">
      <formula>J$1=TODAY()+DailyScrumDateModifier</formula>
    </cfRule>
    <cfRule type="expression" dxfId="176" priority="214" stopIfTrue="1">
      <formula>MOD(ROW(),2)</formula>
    </cfRule>
  </conditionalFormatting>
  <conditionalFormatting sqref="A24 CE24 H24:I24 C24:D24">
    <cfRule type="expression" dxfId="175" priority="202" stopIfTrue="1">
      <formula>MOD(ROW(),2)</formula>
    </cfRule>
  </conditionalFormatting>
  <conditionalFormatting sqref="BH24 CC24 BZ24 BW24 BT24 BQ24 BN24 BK24 BE24 BB24 AS24 AV24 AY24 AJ24 AG24 AD24 AA24 X24 U24 R24 AM24 AP24 O24 L24">
    <cfRule type="cellIs" dxfId="174" priority="203" stopIfTrue="1" operator="equal">
      <formula>"Pending"</formula>
    </cfRule>
    <cfRule type="cellIs" dxfId="173" priority="212" stopIfTrue="1" operator="equal">
      <formula>"In Progress"</formula>
    </cfRule>
    <cfRule type="cellIs" dxfId="172" priority="213" stopIfTrue="1" operator="equal">
      <formula>"Complete"</formula>
    </cfRule>
  </conditionalFormatting>
  <conditionalFormatting sqref="E24">
    <cfRule type="expression" dxfId="171" priority="199" stopIfTrue="1">
      <formula>MOD(ROW(),2)</formula>
    </cfRule>
  </conditionalFormatting>
  <conditionalFormatting sqref="M24">
    <cfRule type="expression" dxfId="170" priority="198" stopIfTrue="1">
      <formula>M$1=TODAY()+DailyScrumDateModifier</formula>
    </cfRule>
    <cfRule type="expression" dxfId="169" priority="209" stopIfTrue="1">
      <formula>MOD(ROW(),2)</formula>
    </cfRule>
  </conditionalFormatting>
  <conditionalFormatting sqref="P24">
    <cfRule type="expression" dxfId="168" priority="197" stopIfTrue="1">
      <formula>P$1=TODAY()+DailyScrumDateModifier</formula>
    </cfRule>
    <cfRule type="expression" dxfId="167" priority="208" stopIfTrue="1">
      <formula>MOD(ROW(),2)</formula>
    </cfRule>
  </conditionalFormatting>
  <conditionalFormatting sqref="S24">
    <cfRule type="expression" dxfId="166" priority="196" stopIfTrue="1">
      <formula>S$1=TODAY()+DailyScrumDateModifier</formula>
    </cfRule>
    <cfRule type="expression" dxfId="165" priority="207" stopIfTrue="1">
      <formula>MOD(ROW(),2)</formula>
    </cfRule>
  </conditionalFormatting>
  <conditionalFormatting sqref="V24">
    <cfRule type="expression" dxfId="164" priority="195" stopIfTrue="1">
      <formula>V$1=TODAY()+DailyScrumDateModifier</formula>
    </cfRule>
    <cfRule type="expression" dxfId="163" priority="206" stopIfTrue="1">
      <formula>MOD(ROW(),2)</formula>
    </cfRule>
  </conditionalFormatting>
  <conditionalFormatting sqref="Y24">
    <cfRule type="expression" dxfId="162" priority="194" stopIfTrue="1">
      <formula>Y$1=TODAY()+DailyScrumDateModifier</formula>
    </cfRule>
    <cfRule type="expression" dxfId="161" priority="205" stopIfTrue="1">
      <formula>MOD(ROW(),2)</formula>
    </cfRule>
  </conditionalFormatting>
  <conditionalFormatting sqref="AB24">
    <cfRule type="expression" dxfId="160" priority="193" stopIfTrue="1">
      <formula>AB$1=TODAY()+DailyScrumDateModifier</formula>
    </cfRule>
    <cfRule type="expression" dxfId="159" priority="567" stopIfTrue="1">
      <formula>MOD(ROW(),2)</formula>
    </cfRule>
  </conditionalFormatting>
  <conditionalFormatting sqref="AE24">
    <cfRule type="expression" dxfId="158" priority="192" stopIfTrue="1">
      <formula>AE$1=TODAY()+DailyScrumDateModifier</formula>
    </cfRule>
    <cfRule type="expression" dxfId="157" priority="568" stopIfTrue="1">
      <formula>MOD(ROW(),2)</formula>
    </cfRule>
  </conditionalFormatting>
  <conditionalFormatting sqref="AH24">
    <cfRule type="expression" dxfId="156" priority="191" stopIfTrue="1">
      <formula>AH$1=TODAY()+DailyScrumDateModifier</formula>
    </cfRule>
    <cfRule type="expression" dxfId="155" priority="569" stopIfTrue="1">
      <formula>MOD(ROW(),2)</formula>
    </cfRule>
  </conditionalFormatting>
  <conditionalFormatting sqref="AK24">
    <cfRule type="expression" dxfId="154" priority="190" stopIfTrue="1">
      <formula>AK$1=TODAY()+DailyScrumDateModifier</formula>
    </cfRule>
    <cfRule type="expression" dxfId="153" priority="570" stopIfTrue="1">
      <formula>MOD(ROW(),2)</formula>
    </cfRule>
  </conditionalFormatting>
  <conditionalFormatting sqref="AN24">
    <cfRule type="expression" dxfId="152" priority="189" stopIfTrue="1">
      <formula>AN$1=TODAY()+DailyScrumDateModifier</formula>
    </cfRule>
    <cfRule type="expression" dxfId="151" priority="571" stopIfTrue="1">
      <formula>MOD(ROW(),2)</formula>
    </cfRule>
  </conditionalFormatting>
  <conditionalFormatting sqref="AQ24">
    <cfRule type="expression" dxfId="150" priority="188" stopIfTrue="1">
      <formula>AQ$1=TODAY()+DailyScrumDateModifier</formula>
    </cfRule>
    <cfRule type="expression" dxfId="149" priority="572" stopIfTrue="1">
      <formula>MOD(ROW(),2)</formula>
    </cfRule>
  </conditionalFormatting>
  <conditionalFormatting sqref="AT24">
    <cfRule type="expression" dxfId="148" priority="187" stopIfTrue="1">
      <formula>AT$1=TODAY()+DailyScrumDateModifier</formula>
    </cfRule>
    <cfRule type="expression" dxfId="147" priority="573" stopIfTrue="1">
      <formula>MOD(ROW(),2)</formula>
    </cfRule>
  </conditionalFormatting>
  <conditionalFormatting sqref="AW24">
    <cfRule type="expression" dxfId="146" priority="186" stopIfTrue="1">
      <formula>AW$1=TODAY()+DailyScrumDateModifier</formula>
    </cfRule>
    <cfRule type="expression" dxfId="145" priority="574" stopIfTrue="1">
      <formula>MOD(ROW(),2)</formula>
    </cfRule>
  </conditionalFormatting>
  <conditionalFormatting sqref="AZ24">
    <cfRule type="expression" dxfId="144" priority="185" stopIfTrue="1">
      <formula>AZ$1=TODAY()+DailyScrumDateModifier</formula>
    </cfRule>
    <cfRule type="expression" dxfId="143" priority="575" stopIfTrue="1">
      <formula>MOD(ROW(),2)</formula>
    </cfRule>
  </conditionalFormatting>
  <conditionalFormatting sqref="BC24">
    <cfRule type="expression" dxfId="142" priority="184" stopIfTrue="1">
      <formula>BC$1=TODAY()+DailyScrumDateModifier</formula>
    </cfRule>
    <cfRule type="expression" dxfId="141" priority="576" stopIfTrue="1">
      <formula>MOD(ROW(),2)</formula>
    </cfRule>
  </conditionalFormatting>
  <conditionalFormatting sqref="BF24">
    <cfRule type="expression" dxfId="140" priority="183" stopIfTrue="1">
      <formula>BF$1=TODAY()+DailyScrumDateModifier</formula>
    </cfRule>
    <cfRule type="expression" dxfId="139" priority="183" stopIfTrue="1">
      <formula>MOD(ROW(),2)</formula>
    </cfRule>
  </conditionalFormatting>
  <conditionalFormatting sqref="E22">
    <cfRule type="expression" dxfId="138" priority="182" stopIfTrue="1">
      <formula>MOD(ROW(),2)</formula>
    </cfRule>
  </conditionalFormatting>
  <conditionalFormatting sqref="J26 BI26 BL26 BO26 BR26 BU26 BX26 CA26">
    <cfRule type="expression" dxfId="137" priority="155" stopIfTrue="1">
      <formula>J$1=TODAY()+DailyScrumDateModifier</formula>
    </cfRule>
  </conditionalFormatting>
  <conditionalFormatting sqref="BJ26 BM26 BP26 BS26 BV26 BY26 CB26 BA26 BD26 BG26 AU26 AX26 AO26 AI26 T26 Q26 W26 Z26 AC26 AF26 AL26 AR26 K26 N26">
    <cfRule type="expression" dxfId="136" priority="156" stopIfTrue="1">
      <formula>J$1=TODAY()+DailyScrumDateModifier</formula>
    </cfRule>
  </conditionalFormatting>
  <conditionalFormatting sqref="A26 CE26 H26:I26 C26:D26">
    <cfRule type="expression" dxfId="135" priority="157" stopIfTrue="1">
      <formula>MOD(ROW(),2)</formula>
    </cfRule>
  </conditionalFormatting>
  <conditionalFormatting sqref="BH26 CC26 BZ26 BW26 BT26 BQ26 BN26 BK26 BE26 BB26 AS26 AV26 AY26 AJ26 AG26 AD26 AA26 X26 U26 R26 AM26 AP26 O26 L26">
    <cfRule type="cellIs" dxfId="134" priority="158" stopIfTrue="1" operator="equal">
      <formula>"Pending"</formula>
    </cfRule>
  </conditionalFormatting>
  <conditionalFormatting sqref="M26">
    <cfRule type="expression" dxfId="133" priority="153" stopIfTrue="1">
      <formula>M$1=TODAY()+DailyScrumDateModifier</formula>
    </cfRule>
    <cfRule type="expression" dxfId="132" priority="168" stopIfTrue="1">
      <formula>MOD(ROW(),2)</formula>
    </cfRule>
  </conditionalFormatting>
  <conditionalFormatting sqref="P26">
    <cfRule type="expression" dxfId="131" priority="152" stopIfTrue="1">
      <formula>P$1=TODAY()+DailyScrumDateModifier</formula>
    </cfRule>
    <cfRule type="expression" dxfId="130" priority="166" stopIfTrue="1">
      <formula>MOD(ROW(),2)</formula>
    </cfRule>
  </conditionalFormatting>
  <conditionalFormatting sqref="S26">
    <cfRule type="expression" dxfId="129" priority="151" stopIfTrue="1">
      <formula>S$1=TODAY()+DailyScrumDateModifier</formula>
    </cfRule>
    <cfRule type="expression" dxfId="128" priority="164" stopIfTrue="1">
      <formula>MOD(ROW(),2)</formula>
    </cfRule>
  </conditionalFormatting>
  <conditionalFormatting sqref="V26">
    <cfRule type="expression" dxfId="127" priority="150" stopIfTrue="1">
      <formula>V$1=TODAY()+DailyScrumDateModifier</formula>
    </cfRule>
    <cfRule type="expression" dxfId="126" priority="162" stopIfTrue="1">
      <formula>MOD(ROW(),2)</formula>
    </cfRule>
  </conditionalFormatting>
  <conditionalFormatting sqref="Y26">
    <cfRule type="expression" dxfId="125" priority="149" stopIfTrue="1">
      <formula>Y$1=TODAY()+DailyScrumDateModifier</formula>
    </cfRule>
    <cfRule type="expression" dxfId="124" priority="160" stopIfTrue="1">
      <formula>MOD(ROW(),2)</formula>
    </cfRule>
  </conditionalFormatting>
  <conditionalFormatting sqref="AB26">
    <cfRule type="expression" dxfId="123" priority="148" stopIfTrue="1">
      <formula>AB$1=TODAY()+DailyScrumDateModifier</formula>
    </cfRule>
    <cfRule type="expression" dxfId="122" priority="577" stopIfTrue="1">
      <formula>MOD(ROW(),2)</formula>
    </cfRule>
  </conditionalFormatting>
  <conditionalFormatting sqref="AE26">
    <cfRule type="expression" dxfId="121" priority="147" stopIfTrue="1">
      <formula>AE$1=TODAY()+DailyScrumDateModifier</formula>
    </cfRule>
    <cfRule type="expression" dxfId="120" priority="578" stopIfTrue="1">
      <formula>MOD(ROW(),2)</formula>
    </cfRule>
  </conditionalFormatting>
  <conditionalFormatting sqref="AH26">
    <cfRule type="expression" dxfId="119" priority="146" stopIfTrue="1">
      <formula>AH$1=TODAY()+DailyScrumDateModifier</formula>
    </cfRule>
    <cfRule type="expression" dxfId="118" priority="579" stopIfTrue="1">
      <formula>MOD(ROW(),2)</formula>
    </cfRule>
  </conditionalFormatting>
  <conditionalFormatting sqref="AK26">
    <cfRule type="expression" dxfId="117" priority="145" stopIfTrue="1">
      <formula>AK$1=TODAY()+DailyScrumDateModifier</formula>
    </cfRule>
    <cfRule type="expression" dxfId="116" priority="580" stopIfTrue="1">
      <formula>MOD(ROW(),2)</formula>
    </cfRule>
  </conditionalFormatting>
  <conditionalFormatting sqref="AN26">
    <cfRule type="expression" dxfId="115" priority="144" stopIfTrue="1">
      <formula>AN$1=TODAY()+DailyScrumDateModifier</formula>
    </cfRule>
    <cfRule type="expression" dxfId="114" priority="581" stopIfTrue="1">
      <formula>MOD(ROW(),2)</formula>
    </cfRule>
  </conditionalFormatting>
  <conditionalFormatting sqref="AQ26">
    <cfRule type="expression" dxfId="113" priority="143" stopIfTrue="1">
      <formula>AQ$1=TODAY()+DailyScrumDateModifier</formula>
    </cfRule>
    <cfRule type="expression" dxfId="112" priority="582" stopIfTrue="1">
      <formula>MOD(ROW(),2)</formula>
    </cfRule>
  </conditionalFormatting>
  <conditionalFormatting sqref="AT26">
    <cfRule type="expression" dxfId="111" priority="142" stopIfTrue="1">
      <formula>AT$1=TODAY()+DailyScrumDateModifier</formula>
    </cfRule>
    <cfRule type="expression" dxfId="110" priority="583" stopIfTrue="1">
      <formula>MOD(ROW(),2)</formula>
    </cfRule>
  </conditionalFormatting>
  <conditionalFormatting sqref="AW26">
    <cfRule type="expression" dxfId="109" priority="141" stopIfTrue="1">
      <formula>AW$1=TODAY()+DailyScrumDateModifier</formula>
    </cfRule>
    <cfRule type="expression" dxfId="108" priority="584" stopIfTrue="1">
      <formula>MOD(ROW(),2)</formula>
    </cfRule>
  </conditionalFormatting>
  <conditionalFormatting sqref="AZ26">
    <cfRule type="expression" dxfId="107" priority="140" stopIfTrue="1">
      <formula>AZ$1=TODAY()+DailyScrumDateModifier</formula>
    </cfRule>
    <cfRule type="expression" dxfId="106" priority="585" stopIfTrue="1">
      <formula>MOD(ROW(),2)</formula>
    </cfRule>
  </conditionalFormatting>
  <conditionalFormatting sqref="BC26">
    <cfRule type="expression" dxfId="105" priority="139" stopIfTrue="1">
      <formula>BC$1=TODAY()+DailyScrumDateModifier</formula>
    </cfRule>
    <cfRule type="expression" dxfId="104" priority="586" stopIfTrue="1">
      <formula>MOD(ROW(),2)</formula>
    </cfRule>
  </conditionalFormatting>
  <conditionalFormatting sqref="BF26">
    <cfRule type="expression" dxfId="103" priority="138" stopIfTrue="1">
      <formula>MOD(ROW(),2)</formula>
    </cfRule>
    <cfRule type="expression" dxfId="102" priority="138" stopIfTrue="1">
      <formula>BF$1=TODAY()+DailyScrumDateModifier</formula>
    </cfRule>
  </conditionalFormatting>
  <conditionalFormatting sqref="J27 BI27 BL27 BO27 BR27 BU27 BX27 CA27">
    <cfRule type="expression" dxfId="101" priority="111" stopIfTrue="1">
      <formula>J$1=TODAY()+DailyScrumDateModifier</formula>
    </cfRule>
    <cfRule type="expression" dxfId="100" priority="136" stopIfTrue="1">
      <formula>MOD(ROW(),2)</formula>
    </cfRule>
  </conditionalFormatting>
  <conditionalFormatting sqref="BJ27 BM27 BP27 BS27 BV27 BY27 CB27 BA27 BD27 BG27 AU27 AX27 AO27 AI27 T27 Q27 W27 Z27 AC27 AF27 AL27 AR27 K27 N27">
    <cfRule type="expression" dxfId="99" priority="112" stopIfTrue="1">
      <formula>J$1=TODAY()+DailyScrumDateModifier</formula>
    </cfRule>
    <cfRule type="expression" dxfId="98" priority="134" stopIfTrue="1">
      <formula>MOD(ROW(),2)</formula>
    </cfRule>
  </conditionalFormatting>
  <conditionalFormatting sqref="A27 CE27 H27:I27 C27:D27">
    <cfRule type="expression" dxfId="97" priority="113" stopIfTrue="1">
      <formula>MOD(ROW(),2)</formula>
    </cfRule>
  </conditionalFormatting>
  <conditionalFormatting sqref="BH27 CC27 BZ27 BW27 BT27 BQ27 BN27 BK27 BE27 BB27 AS27 AV27 AY27 AJ27 AG27 AD27 AA27 X27 U27 R27 AM27 AP27 O27 L27">
    <cfRule type="cellIs" dxfId="96" priority="114" stopIfTrue="1" operator="equal">
      <formula>"Pending"</formula>
    </cfRule>
    <cfRule type="cellIs" dxfId="95" priority="130" stopIfTrue="1" operator="equal">
      <formula>"In Progress"</formula>
    </cfRule>
    <cfRule type="cellIs" dxfId="94" priority="131" stopIfTrue="1" operator="equal">
      <formula>"Complete"</formula>
    </cfRule>
  </conditionalFormatting>
  <conditionalFormatting sqref="E27">
    <cfRule type="expression" dxfId="93" priority="110" stopIfTrue="1">
      <formula>MOD(ROW(),2)</formula>
    </cfRule>
  </conditionalFormatting>
  <conditionalFormatting sqref="M27">
    <cfRule type="expression" dxfId="92" priority="109" stopIfTrue="1">
      <formula>M$1=TODAY()+DailyScrumDateModifier</formula>
    </cfRule>
    <cfRule type="expression" dxfId="91" priority="120" stopIfTrue="1">
      <formula>MOD(ROW(),2)</formula>
    </cfRule>
  </conditionalFormatting>
  <conditionalFormatting sqref="P27">
    <cfRule type="expression" dxfId="90" priority="108" stopIfTrue="1">
      <formula>P$1=TODAY()+DailyScrumDateModifier</formula>
    </cfRule>
    <cfRule type="expression" dxfId="89" priority="119" stopIfTrue="1">
      <formula>MOD(ROW(),2)</formula>
    </cfRule>
  </conditionalFormatting>
  <conditionalFormatting sqref="S27">
    <cfRule type="expression" dxfId="88" priority="107" stopIfTrue="1">
      <formula>S$1=TODAY()+DailyScrumDateModifier</formula>
    </cfRule>
    <cfRule type="expression" dxfId="87" priority="118" stopIfTrue="1">
      <formula>MOD(ROW(),2)</formula>
    </cfRule>
  </conditionalFormatting>
  <conditionalFormatting sqref="V27">
    <cfRule type="expression" dxfId="86" priority="106" stopIfTrue="1">
      <formula>V$1=TODAY()+DailyScrumDateModifier</formula>
    </cfRule>
    <cfRule type="expression" dxfId="85" priority="117" stopIfTrue="1">
      <formula>MOD(ROW(),2)</formula>
    </cfRule>
  </conditionalFormatting>
  <conditionalFormatting sqref="Y27">
    <cfRule type="expression" dxfId="84" priority="105" stopIfTrue="1">
      <formula>Y$1=TODAY()+DailyScrumDateModifier</formula>
    </cfRule>
    <cfRule type="expression" dxfId="83" priority="116" stopIfTrue="1">
      <formula>MOD(ROW(),2)</formula>
    </cfRule>
  </conditionalFormatting>
  <conditionalFormatting sqref="AB27">
    <cfRule type="expression" dxfId="82" priority="104" stopIfTrue="1">
      <formula>AB$1=TODAY()+DailyScrumDateModifier</formula>
    </cfRule>
  </conditionalFormatting>
  <conditionalFormatting sqref="AE27">
    <cfRule type="expression" dxfId="81" priority="103" stopIfTrue="1">
      <formula>AE$1=TODAY()+DailyScrumDateModifier</formula>
    </cfRule>
  </conditionalFormatting>
  <conditionalFormatting sqref="AH27">
    <cfRule type="expression" dxfId="80" priority="102" stopIfTrue="1">
      <formula>AH$1=TODAY()+DailyScrumDateModifier</formula>
    </cfRule>
  </conditionalFormatting>
  <conditionalFormatting sqref="AK27">
    <cfRule type="expression" dxfId="79" priority="101" stopIfTrue="1">
      <formula>AK$1=TODAY()+DailyScrumDateModifier</formula>
    </cfRule>
  </conditionalFormatting>
  <conditionalFormatting sqref="AN27">
    <cfRule type="expression" dxfId="78" priority="100" stopIfTrue="1">
      <formula>AN$1=TODAY()+DailyScrumDateModifier</formula>
    </cfRule>
  </conditionalFormatting>
  <conditionalFormatting sqref="AQ27">
    <cfRule type="expression" dxfId="77" priority="99" stopIfTrue="1">
      <formula>AQ$1=TODAY()+DailyScrumDateModifier</formula>
    </cfRule>
  </conditionalFormatting>
  <conditionalFormatting sqref="AT27">
    <cfRule type="expression" dxfId="76" priority="98" stopIfTrue="1">
      <formula>AT$1=TODAY()+DailyScrumDateModifier</formula>
    </cfRule>
  </conditionalFormatting>
  <conditionalFormatting sqref="AW27">
    <cfRule type="expression" dxfId="75" priority="97" stopIfTrue="1">
      <formula>AW$1=TODAY()+DailyScrumDateModifier</formula>
    </cfRule>
  </conditionalFormatting>
  <conditionalFormatting sqref="AZ27">
    <cfRule type="expression" dxfId="74" priority="96" stopIfTrue="1">
      <formula>AZ$1=TODAY()+DailyScrumDateModifier</formula>
    </cfRule>
  </conditionalFormatting>
  <conditionalFormatting sqref="BC27">
    <cfRule type="expression" dxfId="73" priority="95" stopIfTrue="1">
      <formula>BC$1=TODAY()+DailyScrumDateModifier</formula>
    </cfRule>
  </conditionalFormatting>
  <conditionalFormatting sqref="BF27">
    <cfRule type="expression" dxfId="72" priority="94" stopIfTrue="1">
      <formula>MOD(ROW(),2)</formula>
    </cfRule>
  </conditionalFormatting>
  <conditionalFormatting sqref="J29 BI29 BL29 BO29 BR29 BU29 BX29 CA29">
    <cfRule type="expression" dxfId="71" priority="67" stopIfTrue="1">
      <formula>J$1=TODAY()+DailyScrumDateModifier</formula>
    </cfRule>
  </conditionalFormatting>
  <conditionalFormatting sqref="BJ29 BM29 BP29 BS29 BV29 BY29 CB29 BA29 BD29 BG29 AU29 AX29 AO29 AI29 T29 Q29 W29 Z29 AC29 AF29 AL29 AR29 K29 N29">
    <cfRule type="expression" dxfId="70" priority="68" stopIfTrue="1">
      <formula>J$1=TODAY()+DailyScrumDateModifier</formula>
    </cfRule>
  </conditionalFormatting>
  <conditionalFormatting sqref="A29 CE29 H29:I29 C29:D29">
    <cfRule type="expression" dxfId="69" priority="69" stopIfTrue="1">
      <formula>MOD(ROW(),2)</formula>
    </cfRule>
  </conditionalFormatting>
  <conditionalFormatting sqref="BH29 CC29 BZ29 BW29 BT29 BQ29 BN29 BK29 BE29 BB29 AS29 AV29 AY29 AJ29 AG29 AD29 AA29 X29 U29 R29 AM29 AP29 O29 L29">
    <cfRule type="cellIs" dxfId="68" priority="70" stopIfTrue="1" operator="equal">
      <formula>"Pending"</formula>
    </cfRule>
  </conditionalFormatting>
  <conditionalFormatting sqref="E29">
    <cfRule type="expression" dxfId="67" priority="66" stopIfTrue="1">
      <formula>MOD(ROW(),2)</formula>
    </cfRule>
  </conditionalFormatting>
  <conditionalFormatting sqref="M29">
    <cfRule type="expression" dxfId="66" priority="65" stopIfTrue="1">
      <formula>M$1=TODAY()+DailyScrumDateModifier</formula>
    </cfRule>
    <cfRule type="expression" dxfId="65" priority="80" stopIfTrue="1">
      <formula>MOD(ROW(),2)</formula>
    </cfRule>
  </conditionalFormatting>
  <conditionalFormatting sqref="P29">
    <cfRule type="expression" dxfId="64" priority="64" stopIfTrue="1">
      <formula>P$1=TODAY()+DailyScrumDateModifier</formula>
    </cfRule>
    <cfRule type="expression" dxfId="63" priority="78" stopIfTrue="1">
      <formula>MOD(ROW(),2)</formula>
    </cfRule>
  </conditionalFormatting>
  <conditionalFormatting sqref="S29">
    <cfRule type="expression" dxfId="62" priority="63" stopIfTrue="1">
      <formula>S$1=TODAY()+DailyScrumDateModifier</formula>
    </cfRule>
    <cfRule type="expression" dxfId="61" priority="76" stopIfTrue="1">
      <formula>MOD(ROW(),2)</formula>
    </cfRule>
  </conditionalFormatting>
  <conditionalFormatting sqref="V29">
    <cfRule type="expression" dxfId="60" priority="62" stopIfTrue="1">
      <formula>V$1=TODAY()+DailyScrumDateModifier</formula>
    </cfRule>
    <cfRule type="expression" dxfId="59" priority="74" stopIfTrue="1">
      <formula>MOD(ROW(),2)</formula>
    </cfRule>
  </conditionalFormatting>
  <conditionalFormatting sqref="Y29">
    <cfRule type="expression" dxfId="58" priority="61" stopIfTrue="1">
      <formula>Y$1=TODAY()+DailyScrumDateModifier</formula>
    </cfRule>
    <cfRule type="expression" dxfId="57" priority="72" stopIfTrue="1">
      <formula>MOD(ROW(),2)</formula>
    </cfRule>
  </conditionalFormatting>
  <conditionalFormatting sqref="AB29">
    <cfRule type="expression" dxfId="56" priority="60" stopIfTrue="1">
      <formula>AB$1=TODAY()+DailyScrumDateModifier</formula>
    </cfRule>
    <cfRule type="expression" dxfId="55" priority="587" stopIfTrue="1">
      <formula>MOD(ROW(),2)</formula>
    </cfRule>
  </conditionalFormatting>
  <conditionalFormatting sqref="AE29">
    <cfRule type="expression" dxfId="54" priority="59" stopIfTrue="1">
      <formula>AE$1=TODAY()+DailyScrumDateModifier</formula>
    </cfRule>
    <cfRule type="expression" dxfId="53" priority="588" stopIfTrue="1">
      <formula>MOD(ROW(),2)</formula>
    </cfRule>
  </conditionalFormatting>
  <conditionalFormatting sqref="AH29">
    <cfRule type="expression" dxfId="52" priority="58" stopIfTrue="1">
      <formula>AH$1=TODAY()+DailyScrumDateModifier</formula>
    </cfRule>
    <cfRule type="expression" dxfId="51" priority="589" stopIfTrue="1">
      <formula>MOD(ROW(),2)</formula>
    </cfRule>
  </conditionalFormatting>
  <conditionalFormatting sqref="AK29">
    <cfRule type="expression" dxfId="50" priority="57" stopIfTrue="1">
      <formula>AK$1=TODAY()+DailyScrumDateModifier</formula>
    </cfRule>
    <cfRule type="expression" dxfId="49" priority="590" stopIfTrue="1">
      <formula>MOD(ROW(),2)</formula>
    </cfRule>
  </conditionalFormatting>
  <conditionalFormatting sqref="AN29">
    <cfRule type="expression" dxfId="48" priority="56" stopIfTrue="1">
      <formula>AN$1=TODAY()+DailyScrumDateModifier</formula>
    </cfRule>
    <cfRule type="expression" dxfId="47" priority="591" stopIfTrue="1">
      <formula>MOD(ROW(),2)</formula>
    </cfRule>
  </conditionalFormatting>
  <conditionalFormatting sqref="AQ29">
    <cfRule type="expression" dxfId="46" priority="55" stopIfTrue="1">
      <formula>AQ$1=TODAY()+DailyScrumDateModifier</formula>
    </cfRule>
    <cfRule type="expression" dxfId="45" priority="592" stopIfTrue="1">
      <formula>MOD(ROW(),2)</formula>
    </cfRule>
  </conditionalFormatting>
  <conditionalFormatting sqref="AT29">
    <cfRule type="expression" dxfId="44" priority="54" stopIfTrue="1">
      <formula>AT$1=TODAY()+DailyScrumDateModifier</formula>
    </cfRule>
    <cfRule type="expression" dxfId="43" priority="593" stopIfTrue="1">
      <formula>MOD(ROW(),2)</formula>
    </cfRule>
  </conditionalFormatting>
  <conditionalFormatting sqref="AW29">
    <cfRule type="expression" dxfId="42" priority="53" stopIfTrue="1">
      <formula>AW$1=TODAY()+DailyScrumDateModifier</formula>
    </cfRule>
    <cfRule type="expression" dxfId="41" priority="594" stopIfTrue="1">
      <formula>MOD(ROW(),2)</formula>
    </cfRule>
  </conditionalFormatting>
  <conditionalFormatting sqref="AZ29">
    <cfRule type="expression" dxfId="40" priority="52" stopIfTrue="1">
      <formula>AZ$1=TODAY()+DailyScrumDateModifier</formula>
    </cfRule>
    <cfRule type="expression" dxfId="39" priority="595" stopIfTrue="1">
      <formula>MOD(ROW(),2)</formula>
    </cfRule>
  </conditionalFormatting>
  <conditionalFormatting sqref="BC29">
    <cfRule type="expression" dxfId="38" priority="51" stopIfTrue="1">
      <formula>BC$1=TODAY()+DailyScrumDateModifier</formula>
    </cfRule>
    <cfRule type="expression" dxfId="37" priority="596" stopIfTrue="1">
      <formula>MOD(ROW(),2)</formula>
    </cfRule>
  </conditionalFormatting>
  <conditionalFormatting sqref="BF29">
    <cfRule type="expression" dxfId="36" priority="50" stopIfTrue="1">
      <formula>MOD(ROW(),2)</formula>
    </cfRule>
    <cfRule type="expression" dxfId="35" priority="50" stopIfTrue="1">
      <formula>BF$1=TODAY()+DailyScrumDateModifier</formula>
    </cfRule>
  </conditionalFormatting>
  <conditionalFormatting sqref="J28 BI28 BL28 BO28 BR28 BU28 BX28 CA28">
    <cfRule type="expression" dxfId="34" priority="23" stopIfTrue="1">
      <formula>J$1=TODAY()+DailyScrumDateModifier</formula>
    </cfRule>
    <cfRule type="expression" dxfId="33" priority="48" stopIfTrue="1">
      <formula>MOD(ROW(),2)</formula>
    </cfRule>
  </conditionalFormatting>
  <conditionalFormatting sqref="BJ28 BM28 BP28 BS28 BV28 BY28 CB28 BA28 BD28 BG28 AU28 AX28 AO28 AI28 T28 Q28 W28 Z28 AC28 AF28 AL28 AR28 K28 N28">
    <cfRule type="expression" dxfId="32" priority="24" stopIfTrue="1">
      <formula>J$1=TODAY()+DailyScrumDateModifier</formula>
    </cfRule>
    <cfRule type="expression" dxfId="31" priority="46" stopIfTrue="1">
      <formula>MOD(ROW(),2)</formula>
    </cfRule>
  </conditionalFormatting>
  <conditionalFormatting sqref="A28 CE28 H28:I28 C28:D28">
    <cfRule type="expression" dxfId="30" priority="25" stopIfTrue="1">
      <formula>MOD(ROW(),2)</formula>
    </cfRule>
  </conditionalFormatting>
  <conditionalFormatting sqref="BH28 CC28 BZ28 BW28 BT28 BQ28 BN28 BK28 BE28 BB28 AS28 AV28 AY28 AJ28 AG28 AD28 AA28 X28 U28 R28 AM28 AP28 O28 L28">
    <cfRule type="cellIs" dxfId="29" priority="26" stopIfTrue="1" operator="equal">
      <formula>"Pending"</formula>
    </cfRule>
    <cfRule type="cellIs" dxfId="28" priority="42" stopIfTrue="1" operator="equal">
      <formula>"In Progress"</formula>
    </cfRule>
    <cfRule type="cellIs" dxfId="27" priority="43" stopIfTrue="1" operator="equal">
      <formula>"Complete"</formula>
    </cfRule>
  </conditionalFormatting>
  <conditionalFormatting sqref="E28">
    <cfRule type="expression" dxfId="26" priority="22" stopIfTrue="1">
      <formula>MOD(ROW(),2)</formula>
    </cfRule>
  </conditionalFormatting>
  <conditionalFormatting sqref="M28">
    <cfRule type="expression" dxfId="25" priority="21" stopIfTrue="1">
      <formula>M$1=TODAY()+DailyScrumDateModifier</formula>
    </cfRule>
    <cfRule type="expression" dxfId="24" priority="32" stopIfTrue="1">
      <formula>MOD(ROW(),2)</formula>
    </cfRule>
  </conditionalFormatting>
  <conditionalFormatting sqref="P28">
    <cfRule type="expression" dxfId="23" priority="20" stopIfTrue="1">
      <formula>P$1=TODAY()+DailyScrumDateModifier</formula>
    </cfRule>
    <cfRule type="expression" dxfId="22" priority="31" stopIfTrue="1">
      <formula>MOD(ROW(),2)</formula>
    </cfRule>
  </conditionalFormatting>
  <conditionalFormatting sqref="S28">
    <cfRule type="expression" dxfId="21" priority="19" stopIfTrue="1">
      <formula>S$1=TODAY()+DailyScrumDateModifier</formula>
    </cfRule>
    <cfRule type="expression" dxfId="20" priority="30" stopIfTrue="1">
      <formula>MOD(ROW(),2)</formula>
    </cfRule>
  </conditionalFormatting>
  <conditionalFormatting sqref="V28">
    <cfRule type="expression" dxfId="19" priority="18" stopIfTrue="1">
      <formula>V$1=TODAY()+DailyScrumDateModifier</formula>
    </cfRule>
    <cfRule type="expression" dxfId="18" priority="29" stopIfTrue="1">
      <formula>MOD(ROW(),2)</formula>
    </cfRule>
  </conditionalFormatting>
  <conditionalFormatting sqref="Y28">
    <cfRule type="expression" dxfId="17" priority="17" stopIfTrue="1">
      <formula>Y$1=TODAY()+DailyScrumDateModifier</formula>
    </cfRule>
    <cfRule type="expression" dxfId="16" priority="28" stopIfTrue="1">
      <formula>MOD(ROW(),2)</formula>
    </cfRule>
  </conditionalFormatting>
  <conditionalFormatting sqref="AB28">
    <cfRule type="expression" dxfId="15" priority="16" stopIfTrue="1">
      <formula>AB$1=TODAY()+DailyScrumDateModifier</formula>
    </cfRule>
  </conditionalFormatting>
  <conditionalFormatting sqref="AE28">
    <cfRule type="expression" dxfId="14" priority="15" stopIfTrue="1">
      <formula>AE$1=TODAY()+DailyScrumDateModifier</formula>
    </cfRule>
  </conditionalFormatting>
  <conditionalFormatting sqref="AH28">
    <cfRule type="expression" dxfId="13" priority="14" stopIfTrue="1">
      <formula>AH$1=TODAY()+DailyScrumDateModifier</formula>
    </cfRule>
  </conditionalFormatting>
  <conditionalFormatting sqref="AK28">
    <cfRule type="expression" dxfId="12" priority="13" stopIfTrue="1">
      <formula>AK$1=TODAY()+DailyScrumDateModifier</formula>
    </cfRule>
  </conditionalFormatting>
  <conditionalFormatting sqref="AN28">
    <cfRule type="expression" dxfId="11" priority="12" stopIfTrue="1">
      <formula>AN$1=TODAY()+DailyScrumDateModifier</formula>
    </cfRule>
  </conditionalFormatting>
  <conditionalFormatting sqref="AQ28">
    <cfRule type="expression" dxfId="10" priority="11" stopIfTrue="1">
      <formula>AQ$1=TODAY()+DailyScrumDateModifier</formula>
    </cfRule>
  </conditionalFormatting>
  <conditionalFormatting sqref="AT28">
    <cfRule type="expression" dxfId="9" priority="10" stopIfTrue="1">
      <formula>AT$1=TODAY()+DailyScrumDateModifier</formula>
    </cfRule>
  </conditionalFormatting>
  <conditionalFormatting sqref="AW28">
    <cfRule type="expression" dxfId="8" priority="9" stopIfTrue="1">
      <formula>AW$1=TODAY()+DailyScrumDateModifier</formula>
    </cfRule>
  </conditionalFormatting>
  <conditionalFormatting sqref="AZ28">
    <cfRule type="expression" dxfId="7" priority="8" stopIfTrue="1">
      <formula>AZ$1=TODAY()+DailyScrumDateModifier</formula>
    </cfRule>
  </conditionalFormatting>
  <conditionalFormatting sqref="BC28">
    <cfRule type="expression" dxfId="6" priority="7" stopIfTrue="1">
      <formula>BC$1=TODAY()+DailyScrumDateModifier</formula>
    </cfRule>
  </conditionalFormatting>
  <conditionalFormatting sqref="BF28">
    <cfRule type="expression" dxfId="5" priority="6" stopIfTrue="1">
      <formula>MOD(ROW(),2)</formula>
    </cfRule>
  </conditionalFormatting>
  <conditionalFormatting sqref="B22">
    <cfRule type="expression" dxfId="4" priority="5" stopIfTrue="1">
      <formula>MOD(ROW(),2)</formula>
    </cfRule>
  </conditionalFormatting>
  <conditionalFormatting sqref="B23">
    <cfRule type="expression" dxfId="3" priority="4" stopIfTrue="1">
      <formula>MOD(ROW(),2)</formula>
    </cfRule>
  </conditionalFormatting>
  <conditionalFormatting sqref="B24">
    <cfRule type="expression" dxfId="2" priority="3" stopIfTrue="1">
      <formula>MOD(ROW(),2)</formula>
    </cfRule>
  </conditionalFormatting>
  <conditionalFormatting sqref="B25">
    <cfRule type="expression" dxfId="1" priority="2" stopIfTrue="1">
      <formula>MOD(ROW(),2)</formula>
    </cfRule>
  </conditionalFormatting>
  <conditionalFormatting sqref="B26:B29">
    <cfRule type="expression" dxfId="0" priority="1" stopIfTrue="1">
      <formula>MOD(ROW(),2)</formula>
    </cfRule>
  </conditionalFormatting>
  <dataValidations count="3">
    <dataValidation type="list" allowBlank="1" showInputMessage="1" showErrorMessage="1" sqref="A4:A66">
      <formula1>Worktype</formula1>
    </dataValidation>
    <dataValidation type="list" allowBlank="1" showInputMessage="1" showErrorMessage="1" sqref="B4:B66">
      <formula1>Deliverable</formula1>
    </dataValidation>
    <dataValidation type="list" allowBlank="1" showInputMessage="1" showErrorMessage="1" sqref="F4:F66">
      <formula1>Members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Team Roster</vt:lpstr>
      <vt:lpstr>Capacity</vt:lpstr>
      <vt:lpstr>Analysis</vt:lpstr>
      <vt:lpstr>Project Specific Reports</vt:lpstr>
      <vt:lpstr>Sprint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Jazz</cp:lastModifiedBy>
  <cp:revision>1</cp:revision>
  <cp:lastPrinted>2005-08-15T09:18:22Z</cp:lastPrinted>
  <dcterms:created xsi:type="dcterms:W3CDTF">2005-01-26T21:50:47Z</dcterms:created>
  <dcterms:modified xsi:type="dcterms:W3CDTF">2016-04-28T22:09:03Z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